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SERVER\Publicas\Tuti\Automatizacion\4- a imprimir\"/>
    </mc:Choice>
  </mc:AlternateContent>
  <xr:revisionPtr revIDLastSave="0" documentId="8_{40B5AC82-083A-4A80-A208-C3B5BF210329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frente" sheetId="1" r:id="rId1"/>
    <sheet name="Pedido" sheetId="5" r:id="rId2"/>
    <sheet name="csv" sheetId="6" r:id="rId3"/>
  </sheets>
  <externalReferences>
    <externalReference r:id="rId4"/>
  </externalReferences>
  <definedNames>
    <definedName name="_xlnm._FilterDatabase" localSheetId="1" hidden="1">Pedido!$A$1:$G$161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5" l="1"/>
  <c r="G10" i="5" s="1"/>
  <c r="D10" i="5"/>
  <c r="F10" i="5" s="1"/>
  <c r="C10" i="5"/>
  <c r="J199" i="5"/>
  <c r="G199" i="5"/>
  <c r="F199" i="5"/>
  <c r="E199" i="5"/>
  <c r="D199" i="5"/>
  <c r="C199" i="5"/>
  <c r="J198" i="5"/>
  <c r="G198" i="5"/>
  <c r="F198" i="5"/>
  <c r="E198" i="5"/>
  <c r="D198" i="5"/>
  <c r="C198" i="5"/>
  <c r="J197" i="5"/>
  <c r="G197" i="5"/>
  <c r="F197" i="5"/>
  <c r="E197" i="5"/>
  <c r="D197" i="5"/>
  <c r="C197" i="5"/>
  <c r="J196" i="5"/>
  <c r="G196" i="5"/>
  <c r="F196" i="5"/>
  <c r="E196" i="5"/>
  <c r="D196" i="5"/>
  <c r="C196" i="5"/>
  <c r="J195" i="5"/>
  <c r="G195" i="5"/>
  <c r="F195" i="5"/>
  <c r="E195" i="5"/>
  <c r="D195" i="5"/>
  <c r="C195" i="5"/>
  <c r="J194" i="5"/>
  <c r="G194" i="5"/>
  <c r="F194" i="5"/>
  <c r="E194" i="5"/>
  <c r="D194" i="5"/>
  <c r="C194" i="5"/>
  <c r="J193" i="5"/>
  <c r="G193" i="5"/>
  <c r="F193" i="5"/>
  <c r="E193" i="5"/>
  <c r="D193" i="5"/>
  <c r="C193" i="5"/>
  <c r="J192" i="5"/>
  <c r="G192" i="5"/>
  <c r="F192" i="5"/>
  <c r="E192" i="5"/>
  <c r="D192" i="5"/>
  <c r="C192" i="5"/>
  <c r="J191" i="5"/>
  <c r="G191" i="5"/>
  <c r="F191" i="5"/>
  <c r="E191" i="5"/>
  <c r="D191" i="5"/>
  <c r="C191" i="5"/>
  <c r="J190" i="5"/>
  <c r="G190" i="5"/>
  <c r="F190" i="5"/>
  <c r="E190" i="5"/>
  <c r="D190" i="5"/>
  <c r="C190" i="5"/>
  <c r="J189" i="5"/>
  <c r="G189" i="5"/>
  <c r="F189" i="5"/>
  <c r="E189" i="5"/>
  <c r="D189" i="5"/>
  <c r="C189" i="5"/>
  <c r="J188" i="5"/>
  <c r="G188" i="5"/>
  <c r="F188" i="5"/>
  <c r="E188" i="5"/>
  <c r="D188" i="5"/>
  <c r="C188" i="5"/>
  <c r="J187" i="5"/>
  <c r="G187" i="5"/>
  <c r="F187" i="5"/>
  <c r="E187" i="5"/>
  <c r="D187" i="5"/>
  <c r="C187" i="5"/>
  <c r="J186" i="5"/>
  <c r="G186" i="5"/>
  <c r="F186" i="5"/>
  <c r="E186" i="5"/>
  <c r="D186" i="5"/>
  <c r="C186" i="5"/>
  <c r="J185" i="5"/>
  <c r="G185" i="5"/>
  <c r="F185" i="5"/>
  <c r="E185" i="5"/>
  <c r="D185" i="5"/>
  <c r="C185" i="5"/>
  <c r="J184" i="5"/>
  <c r="G184" i="5"/>
  <c r="F184" i="5"/>
  <c r="E184" i="5"/>
  <c r="D184" i="5"/>
  <c r="C184" i="5"/>
  <c r="J183" i="5"/>
  <c r="G183" i="5"/>
  <c r="F183" i="5"/>
  <c r="E183" i="5"/>
  <c r="D183" i="5"/>
  <c r="C183" i="5"/>
  <c r="J182" i="5"/>
  <c r="G182" i="5"/>
  <c r="F182" i="5"/>
  <c r="E182" i="5"/>
  <c r="D182" i="5"/>
  <c r="C182" i="5"/>
  <c r="J181" i="5"/>
  <c r="G181" i="5"/>
  <c r="F181" i="5"/>
  <c r="E181" i="5"/>
  <c r="D181" i="5"/>
  <c r="C181" i="5"/>
  <c r="J180" i="5"/>
  <c r="G180" i="5"/>
  <c r="F180" i="5"/>
  <c r="E180" i="5"/>
  <c r="D180" i="5"/>
  <c r="C180" i="5"/>
  <c r="J179" i="5"/>
  <c r="G179" i="5"/>
  <c r="F179" i="5"/>
  <c r="E179" i="5"/>
  <c r="D179" i="5"/>
  <c r="C179" i="5"/>
  <c r="J178" i="5"/>
  <c r="G178" i="5"/>
  <c r="F178" i="5"/>
  <c r="E178" i="5"/>
  <c r="D178" i="5"/>
  <c r="C178" i="5"/>
  <c r="J177" i="5"/>
  <c r="G177" i="5"/>
  <c r="F177" i="5"/>
  <c r="E177" i="5"/>
  <c r="D177" i="5"/>
  <c r="C177" i="5"/>
  <c r="J176" i="5"/>
  <c r="G176" i="5"/>
  <c r="F176" i="5"/>
  <c r="E176" i="5"/>
  <c r="D176" i="5"/>
  <c r="C176" i="5"/>
  <c r="J175" i="5"/>
  <c r="G175" i="5"/>
  <c r="F175" i="5"/>
  <c r="E175" i="5"/>
  <c r="D175" i="5"/>
  <c r="C175" i="5"/>
  <c r="J174" i="5"/>
  <c r="G174" i="5"/>
  <c r="F174" i="5"/>
  <c r="E174" i="5"/>
  <c r="D174" i="5"/>
  <c r="C174" i="5"/>
  <c r="J173" i="5"/>
  <c r="G173" i="5"/>
  <c r="F173" i="5"/>
  <c r="E173" i="5"/>
  <c r="D173" i="5"/>
  <c r="C173" i="5"/>
  <c r="J172" i="5"/>
  <c r="G172" i="5"/>
  <c r="F172" i="5"/>
  <c r="E172" i="5"/>
  <c r="D172" i="5"/>
  <c r="C172" i="5"/>
  <c r="J171" i="5"/>
  <c r="G171" i="5"/>
  <c r="F171" i="5"/>
  <c r="E171" i="5"/>
  <c r="D171" i="5"/>
  <c r="C171" i="5"/>
  <c r="J170" i="5"/>
  <c r="G170" i="5"/>
  <c r="F170" i="5"/>
  <c r="E170" i="5"/>
  <c r="D170" i="5"/>
  <c r="C170" i="5"/>
  <c r="J169" i="5"/>
  <c r="G169" i="5"/>
  <c r="F169" i="5"/>
  <c r="E169" i="5"/>
  <c r="D169" i="5"/>
  <c r="C169" i="5"/>
  <c r="J168" i="5"/>
  <c r="G168" i="5"/>
  <c r="F168" i="5"/>
  <c r="E168" i="5"/>
  <c r="D168" i="5"/>
  <c r="C168" i="5"/>
  <c r="J167" i="5"/>
  <c r="G167" i="5"/>
  <c r="F167" i="5"/>
  <c r="E167" i="5"/>
  <c r="D167" i="5"/>
  <c r="C167" i="5"/>
  <c r="J166" i="5"/>
  <c r="G166" i="5"/>
  <c r="F166" i="5"/>
  <c r="E166" i="5"/>
  <c r="D166" i="5"/>
  <c r="C166" i="5"/>
  <c r="J165" i="5"/>
  <c r="G165" i="5"/>
  <c r="F165" i="5"/>
  <c r="E165" i="5"/>
  <c r="D165" i="5"/>
  <c r="C165" i="5"/>
  <c r="J164" i="5"/>
  <c r="G164" i="5"/>
  <c r="F164" i="5"/>
  <c r="E164" i="5"/>
  <c r="D164" i="5"/>
  <c r="C164" i="5"/>
  <c r="J163" i="5"/>
  <c r="G163" i="5"/>
  <c r="F163" i="5"/>
  <c r="E163" i="5"/>
  <c r="D163" i="5"/>
  <c r="C163" i="5"/>
  <c r="J162" i="5"/>
  <c r="G162" i="5"/>
  <c r="F162" i="5"/>
  <c r="E162" i="5"/>
  <c r="D162" i="5"/>
  <c r="C162" i="5"/>
  <c r="J161" i="5"/>
  <c r="G161" i="5"/>
  <c r="F161" i="5"/>
  <c r="E161" i="5"/>
  <c r="D161" i="5"/>
  <c r="C161" i="5"/>
  <c r="J160" i="5"/>
  <c r="G160" i="5"/>
  <c r="F160" i="5"/>
  <c r="E160" i="5"/>
  <c r="D160" i="5"/>
  <c r="C160" i="5"/>
  <c r="J159" i="5"/>
  <c r="G159" i="5"/>
  <c r="F159" i="5"/>
  <c r="E159" i="5"/>
  <c r="D159" i="5"/>
  <c r="C159" i="5"/>
  <c r="J158" i="5"/>
  <c r="G158" i="5"/>
  <c r="F158" i="5"/>
  <c r="E158" i="5"/>
  <c r="D158" i="5"/>
  <c r="C158" i="5"/>
  <c r="J157" i="5"/>
  <c r="G157" i="5"/>
  <c r="F157" i="5"/>
  <c r="E157" i="5"/>
  <c r="D157" i="5"/>
  <c r="C157" i="5"/>
  <c r="J156" i="5"/>
  <c r="G156" i="5"/>
  <c r="F156" i="5"/>
  <c r="E156" i="5"/>
  <c r="D156" i="5"/>
  <c r="C156" i="5"/>
  <c r="J155" i="5"/>
  <c r="G155" i="5"/>
  <c r="F155" i="5"/>
  <c r="E155" i="5"/>
  <c r="D155" i="5"/>
  <c r="C155" i="5"/>
  <c r="J154" i="5"/>
  <c r="G154" i="5"/>
  <c r="F154" i="5"/>
  <c r="E154" i="5"/>
  <c r="D154" i="5"/>
  <c r="C154" i="5"/>
  <c r="J153" i="5"/>
  <c r="G153" i="5"/>
  <c r="F153" i="5"/>
  <c r="E153" i="5"/>
  <c r="D153" i="5"/>
  <c r="C153" i="5"/>
  <c r="J152" i="5"/>
  <c r="G152" i="5"/>
  <c r="F152" i="5"/>
  <c r="E152" i="5"/>
  <c r="D152" i="5"/>
  <c r="C152" i="5"/>
  <c r="J151" i="5"/>
  <c r="G151" i="5"/>
  <c r="F151" i="5"/>
  <c r="E151" i="5"/>
  <c r="D151" i="5"/>
  <c r="C151" i="5"/>
  <c r="J150" i="5"/>
  <c r="G150" i="5"/>
  <c r="F150" i="5"/>
  <c r="E150" i="5"/>
  <c r="D150" i="5"/>
  <c r="C150" i="5"/>
  <c r="J149" i="5"/>
  <c r="G149" i="5"/>
  <c r="F149" i="5"/>
  <c r="E149" i="5"/>
  <c r="D149" i="5"/>
  <c r="C149" i="5"/>
  <c r="J148" i="5"/>
  <c r="G148" i="5"/>
  <c r="F148" i="5"/>
  <c r="E148" i="5"/>
  <c r="D148" i="5"/>
  <c r="C148" i="5"/>
  <c r="J147" i="5"/>
  <c r="G147" i="5"/>
  <c r="F147" i="5"/>
  <c r="E147" i="5"/>
  <c r="D147" i="5"/>
  <c r="C147" i="5"/>
  <c r="J146" i="5"/>
  <c r="G146" i="5"/>
  <c r="F146" i="5"/>
  <c r="E146" i="5"/>
  <c r="D146" i="5"/>
  <c r="C146" i="5"/>
  <c r="J145" i="5"/>
  <c r="G145" i="5"/>
  <c r="F145" i="5"/>
  <c r="E145" i="5"/>
  <c r="D145" i="5"/>
  <c r="C145" i="5"/>
  <c r="J144" i="5"/>
  <c r="G144" i="5"/>
  <c r="F144" i="5"/>
  <c r="E144" i="5"/>
  <c r="D144" i="5"/>
  <c r="C144" i="5"/>
  <c r="J143" i="5"/>
  <c r="G143" i="5"/>
  <c r="F143" i="5"/>
  <c r="E143" i="5"/>
  <c r="D143" i="5"/>
  <c r="C143" i="5"/>
  <c r="J142" i="5"/>
  <c r="G142" i="5"/>
  <c r="F142" i="5"/>
  <c r="E142" i="5"/>
  <c r="D142" i="5"/>
  <c r="C142" i="5"/>
  <c r="J141" i="5"/>
  <c r="G141" i="5"/>
  <c r="F141" i="5"/>
  <c r="E141" i="5"/>
  <c r="D141" i="5"/>
  <c r="C141" i="5"/>
  <c r="J140" i="5"/>
  <c r="G140" i="5"/>
  <c r="F140" i="5"/>
  <c r="E140" i="5"/>
  <c r="D140" i="5"/>
  <c r="C140" i="5"/>
  <c r="J139" i="5"/>
  <c r="G139" i="5"/>
  <c r="F139" i="5"/>
  <c r="E139" i="5"/>
  <c r="D139" i="5"/>
  <c r="C139" i="5"/>
  <c r="J138" i="5"/>
  <c r="G138" i="5"/>
  <c r="F138" i="5"/>
  <c r="E138" i="5"/>
  <c r="D138" i="5"/>
  <c r="C138" i="5"/>
  <c r="J137" i="5"/>
  <c r="G137" i="5"/>
  <c r="F137" i="5"/>
  <c r="E137" i="5"/>
  <c r="D137" i="5"/>
  <c r="C137" i="5"/>
  <c r="J136" i="5"/>
  <c r="G136" i="5"/>
  <c r="F136" i="5"/>
  <c r="E136" i="5"/>
  <c r="D136" i="5"/>
  <c r="C136" i="5"/>
  <c r="J135" i="5"/>
  <c r="G135" i="5"/>
  <c r="F135" i="5"/>
  <c r="E135" i="5"/>
  <c r="D135" i="5"/>
  <c r="C135" i="5"/>
  <c r="J134" i="5"/>
  <c r="G134" i="5"/>
  <c r="F134" i="5"/>
  <c r="E134" i="5"/>
  <c r="D134" i="5"/>
  <c r="C134" i="5"/>
  <c r="J133" i="5"/>
  <c r="G133" i="5"/>
  <c r="F133" i="5"/>
  <c r="E133" i="5"/>
  <c r="D133" i="5"/>
  <c r="C133" i="5"/>
  <c r="J132" i="5"/>
  <c r="G132" i="5"/>
  <c r="F132" i="5"/>
  <c r="E132" i="5"/>
  <c r="D132" i="5"/>
  <c r="C132" i="5"/>
  <c r="J131" i="5"/>
  <c r="G131" i="5"/>
  <c r="F131" i="5"/>
  <c r="E131" i="5"/>
  <c r="D131" i="5"/>
  <c r="C131" i="5"/>
  <c r="J130" i="5"/>
  <c r="G130" i="5"/>
  <c r="F130" i="5"/>
  <c r="E130" i="5"/>
  <c r="D130" i="5"/>
  <c r="C130" i="5"/>
  <c r="J129" i="5"/>
  <c r="G129" i="5"/>
  <c r="F129" i="5"/>
  <c r="E129" i="5"/>
  <c r="D129" i="5"/>
  <c r="C129" i="5"/>
  <c r="J128" i="5"/>
  <c r="G128" i="5"/>
  <c r="F128" i="5"/>
  <c r="E128" i="5"/>
  <c r="D128" i="5"/>
  <c r="C128" i="5"/>
  <c r="J127" i="5"/>
  <c r="G127" i="5"/>
  <c r="F127" i="5"/>
  <c r="E127" i="5"/>
  <c r="D127" i="5"/>
  <c r="C127" i="5"/>
  <c r="J126" i="5"/>
  <c r="G126" i="5"/>
  <c r="F126" i="5"/>
  <c r="E126" i="5"/>
  <c r="D126" i="5"/>
  <c r="C126" i="5"/>
  <c r="J125" i="5"/>
  <c r="G125" i="5"/>
  <c r="F125" i="5"/>
  <c r="E125" i="5"/>
  <c r="D125" i="5"/>
  <c r="C125" i="5"/>
  <c r="J124" i="5"/>
  <c r="G124" i="5"/>
  <c r="F124" i="5"/>
  <c r="E124" i="5"/>
  <c r="D124" i="5"/>
  <c r="C124" i="5"/>
  <c r="J123" i="5"/>
  <c r="G123" i="5"/>
  <c r="F123" i="5"/>
  <c r="E123" i="5"/>
  <c r="D123" i="5"/>
  <c r="C123" i="5"/>
  <c r="J122" i="5"/>
  <c r="G122" i="5"/>
  <c r="F122" i="5"/>
  <c r="E122" i="5"/>
  <c r="D122" i="5"/>
  <c r="C122" i="5"/>
  <c r="J121" i="5"/>
  <c r="G121" i="5"/>
  <c r="F121" i="5"/>
  <c r="E121" i="5"/>
  <c r="D121" i="5"/>
  <c r="C121" i="5"/>
  <c r="J120" i="5"/>
  <c r="G120" i="5"/>
  <c r="F120" i="5"/>
  <c r="E120" i="5"/>
  <c r="D120" i="5"/>
  <c r="C120" i="5"/>
  <c r="J119" i="5"/>
  <c r="G119" i="5"/>
  <c r="F119" i="5"/>
  <c r="E119" i="5"/>
  <c r="D119" i="5"/>
  <c r="C119" i="5"/>
  <c r="J118" i="5"/>
  <c r="G118" i="5"/>
  <c r="F118" i="5"/>
  <c r="E118" i="5"/>
  <c r="D118" i="5"/>
  <c r="C118" i="5"/>
  <c r="J117" i="5"/>
  <c r="G117" i="5"/>
  <c r="F117" i="5"/>
  <c r="E117" i="5"/>
  <c r="D117" i="5"/>
  <c r="C117" i="5"/>
  <c r="J116" i="5"/>
  <c r="G116" i="5"/>
  <c r="F116" i="5"/>
  <c r="E116" i="5"/>
  <c r="D116" i="5"/>
  <c r="C116" i="5"/>
  <c r="J115" i="5"/>
  <c r="G115" i="5"/>
  <c r="F115" i="5"/>
  <c r="E115" i="5"/>
  <c r="D115" i="5"/>
  <c r="C115" i="5"/>
  <c r="J114" i="5"/>
  <c r="G114" i="5"/>
  <c r="F114" i="5"/>
  <c r="E114" i="5"/>
  <c r="D114" i="5"/>
  <c r="C114" i="5"/>
  <c r="J113" i="5"/>
  <c r="G113" i="5"/>
  <c r="F113" i="5"/>
  <c r="E113" i="5"/>
  <c r="D113" i="5"/>
  <c r="C113" i="5"/>
  <c r="J112" i="5"/>
  <c r="G112" i="5"/>
  <c r="F112" i="5"/>
  <c r="E112" i="5"/>
  <c r="D112" i="5"/>
  <c r="C112" i="5"/>
  <c r="J111" i="5"/>
  <c r="G111" i="5"/>
  <c r="F111" i="5"/>
  <c r="E111" i="5"/>
  <c r="D111" i="5"/>
  <c r="C111" i="5"/>
  <c r="J110" i="5"/>
  <c r="G110" i="5"/>
  <c r="F110" i="5"/>
  <c r="E110" i="5"/>
  <c r="D110" i="5"/>
  <c r="C110" i="5"/>
  <c r="J109" i="5"/>
  <c r="G109" i="5"/>
  <c r="F109" i="5"/>
  <c r="E109" i="5"/>
  <c r="D109" i="5"/>
  <c r="C109" i="5"/>
  <c r="J108" i="5"/>
  <c r="G108" i="5"/>
  <c r="F108" i="5"/>
  <c r="E108" i="5"/>
  <c r="D108" i="5"/>
  <c r="C108" i="5"/>
  <c r="J107" i="5"/>
  <c r="G107" i="5"/>
  <c r="F107" i="5"/>
  <c r="E107" i="5"/>
  <c r="D107" i="5"/>
  <c r="C107" i="5"/>
  <c r="J106" i="5"/>
  <c r="G106" i="5"/>
  <c r="F106" i="5"/>
  <c r="E106" i="5"/>
  <c r="D106" i="5"/>
  <c r="C106" i="5"/>
  <c r="J105" i="5"/>
  <c r="G105" i="5"/>
  <c r="F105" i="5"/>
  <c r="E105" i="5"/>
  <c r="D105" i="5"/>
  <c r="C105" i="5"/>
  <c r="J104" i="5"/>
  <c r="G104" i="5"/>
  <c r="F104" i="5"/>
  <c r="E104" i="5"/>
  <c r="D104" i="5"/>
  <c r="C104" i="5"/>
  <c r="J103" i="5"/>
  <c r="G103" i="5"/>
  <c r="F103" i="5"/>
  <c r="E103" i="5"/>
  <c r="D103" i="5"/>
  <c r="C103" i="5"/>
  <c r="J102" i="5"/>
  <c r="G102" i="5"/>
  <c r="F102" i="5"/>
  <c r="E102" i="5"/>
  <c r="D102" i="5"/>
  <c r="C102" i="5"/>
  <c r="J101" i="5"/>
  <c r="G101" i="5"/>
  <c r="F101" i="5"/>
  <c r="E101" i="5"/>
  <c r="D101" i="5"/>
  <c r="C101" i="5"/>
  <c r="J100" i="5"/>
  <c r="G100" i="5"/>
  <c r="F100" i="5"/>
  <c r="E100" i="5"/>
  <c r="D100" i="5"/>
  <c r="C100" i="5"/>
  <c r="J99" i="5"/>
  <c r="G99" i="5"/>
  <c r="F99" i="5"/>
  <c r="E99" i="5"/>
  <c r="D99" i="5"/>
  <c r="C99" i="5"/>
  <c r="J98" i="5"/>
  <c r="G98" i="5"/>
  <c r="F98" i="5"/>
  <c r="E98" i="5"/>
  <c r="D98" i="5"/>
  <c r="C98" i="5"/>
  <c r="J97" i="5"/>
  <c r="G97" i="5"/>
  <c r="F97" i="5"/>
  <c r="E97" i="5"/>
  <c r="D97" i="5"/>
  <c r="C97" i="5"/>
  <c r="J96" i="5"/>
  <c r="G96" i="5"/>
  <c r="F96" i="5"/>
  <c r="E96" i="5"/>
  <c r="D96" i="5"/>
  <c r="C96" i="5"/>
  <c r="J95" i="5"/>
  <c r="G95" i="5"/>
  <c r="F95" i="5"/>
  <c r="E95" i="5"/>
  <c r="D95" i="5"/>
  <c r="C95" i="5"/>
  <c r="J94" i="5"/>
  <c r="G94" i="5"/>
  <c r="F94" i="5"/>
  <c r="E94" i="5"/>
  <c r="D94" i="5"/>
  <c r="C94" i="5"/>
  <c r="J93" i="5"/>
  <c r="G93" i="5"/>
  <c r="F93" i="5"/>
  <c r="E93" i="5"/>
  <c r="D93" i="5"/>
  <c r="C93" i="5"/>
  <c r="J92" i="5"/>
  <c r="G92" i="5"/>
  <c r="F92" i="5"/>
  <c r="E92" i="5"/>
  <c r="D92" i="5"/>
  <c r="C92" i="5"/>
  <c r="J91" i="5"/>
  <c r="G91" i="5"/>
  <c r="F91" i="5"/>
  <c r="E91" i="5"/>
  <c r="D91" i="5"/>
  <c r="C91" i="5"/>
  <c r="J90" i="5"/>
  <c r="G90" i="5"/>
  <c r="F90" i="5"/>
  <c r="E90" i="5"/>
  <c r="D90" i="5"/>
  <c r="C90" i="5"/>
  <c r="J89" i="5"/>
  <c r="G89" i="5"/>
  <c r="F89" i="5"/>
  <c r="E89" i="5"/>
  <c r="D89" i="5"/>
  <c r="C89" i="5"/>
  <c r="J88" i="5"/>
  <c r="G88" i="5"/>
  <c r="F88" i="5"/>
  <c r="E88" i="5"/>
  <c r="D88" i="5"/>
  <c r="C88" i="5"/>
  <c r="J87" i="5"/>
  <c r="G87" i="5"/>
  <c r="F87" i="5"/>
  <c r="E87" i="5"/>
  <c r="D87" i="5"/>
  <c r="C87" i="5"/>
  <c r="J86" i="5"/>
  <c r="G86" i="5"/>
  <c r="F86" i="5"/>
  <c r="E86" i="5"/>
  <c r="D86" i="5"/>
  <c r="C86" i="5"/>
  <c r="J85" i="5"/>
  <c r="G85" i="5"/>
  <c r="F85" i="5"/>
  <c r="E85" i="5"/>
  <c r="D85" i="5"/>
  <c r="C85" i="5"/>
  <c r="J84" i="5"/>
  <c r="G84" i="5"/>
  <c r="F84" i="5"/>
  <c r="E84" i="5"/>
  <c r="D84" i="5"/>
  <c r="C84" i="5"/>
  <c r="J83" i="5"/>
  <c r="G83" i="5"/>
  <c r="F83" i="5"/>
  <c r="E83" i="5"/>
  <c r="D83" i="5"/>
  <c r="C83" i="5"/>
  <c r="J82" i="5"/>
  <c r="G82" i="5"/>
  <c r="F82" i="5"/>
  <c r="E82" i="5"/>
  <c r="D82" i="5"/>
  <c r="C82" i="5"/>
  <c r="J81" i="5"/>
  <c r="G81" i="5"/>
  <c r="F81" i="5"/>
  <c r="E81" i="5"/>
  <c r="D81" i="5"/>
  <c r="C81" i="5"/>
  <c r="J80" i="5"/>
  <c r="G80" i="5"/>
  <c r="F80" i="5"/>
  <c r="E80" i="5"/>
  <c r="D80" i="5"/>
  <c r="C80" i="5"/>
  <c r="J79" i="5"/>
  <c r="G79" i="5"/>
  <c r="F79" i="5"/>
  <c r="E79" i="5"/>
  <c r="D79" i="5"/>
  <c r="C79" i="5"/>
  <c r="J78" i="5"/>
  <c r="G78" i="5"/>
  <c r="F78" i="5"/>
  <c r="E78" i="5"/>
  <c r="D78" i="5"/>
  <c r="C78" i="5"/>
  <c r="J77" i="5"/>
  <c r="G77" i="5"/>
  <c r="F77" i="5"/>
  <c r="E77" i="5"/>
  <c r="D77" i="5"/>
  <c r="C77" i="5"/>
  <c r="J76" i="5"/>
  <c r="G76" i="5"/>
  <c r="F76" i="5"/>
  <c r="E76" i="5"/>
  <c r="D76" i="5"/>
  <c r="C76" i="5"/>
  <c r="J75" i="5"/>
  <c r="G75" i="5"/>
  <c r="F75" i="5"/>
  <c r="E75" i="5"/>
  <c r="D75" i="5"/>
  <c r="C75" i="5"/>
  <c r="J74" i="5"/>
  <c r="G74" i="5"/>
  <c r="F74" i="5"/>
  <c r="E74" i="5"/>
  <c r="D74" i="5"/>
  <c r="C74" i="5"/>
  <c r="J73" i="5"/>
  <c r="G73" i="5"/>
  <c r="F73" i="5"/>
  <c r="E73" i="5"/>
  <c r="D73" i="5"/>
  <c r="C73" i="5"/>
  <c r="J72" i="5"/>
  <c r="G72" i="5"/>
  <c r="F72" i="5"/>
  <c r="E72" i="5"/>
  <c r="D72" i="5"/>
  <c r="C72" i="5"/>
  <c r="J71" i="5"/>
  <c r="G71" i="5"/>
  <c r="F71" i="5"/>
  <c r="E71" i="5"/>
  <c r="D71" i="5"/>
  <c r="C71" i="5"/>
  <c r="J70" i="5"/>
  <c r="G70" i="5"/>
  <c r="F70" i="5"/>
  <c r="E70" i="5"/>
  <c r="D70" i="5"/>
  <c r="C70" i="5"/>
  <c r="J69" i="5"/>
  <c r="G69" i="5"/>
  <c r="F69" i="5"/>
  <c r="E69" i="5"/>
  <c r="D69" i="5"/>
  <c r="C69" i="5"/>
  <c r="J68" i="5"/>
  <c r="G68" i="5"/>
  <c r="F68" i="5"/>
  <c r="E68" i="5"/>
  <c r="D68" i="5"/>
  <c r="C68" i="5"/>
  <c r="J67" i="5"/>
  <c r="G67" i="5"/>
  <c r="F67" i="5"/>
  <c r="E67" i="5"/>
  <c r="D67" i="5"/>
  <c r="C67" i="5"/>
  <c r="J66" i="5"/>
  <c r="G66" i="5"/>
  <c r="F66" i="5"/>
  <c r="E66" i="5"/>
  <c r="D66" i="5"/>
  <c r="C66" i="5"/>
  <c r="J65" i="5"/>
  <c r="G65" i="5"/>
  <c r="F65" i="5"/>
  <c r="E65" i="5"/>
  <c r="D65" i="5"/>
  <c r="C65" i="5"/>
  <c r="J64" i="5"/>
  <c r="G64" i="5"/>
  <c r="F64" i="5"/>
  <c r="E64" i="5"/>
  <c r="D64" i="5"/>
  <c r="C64" i="5"/>
  <c r="J63" i="5"/>
  <c r="G63" i="5"/>
  <c r="F63" i="5"/>
  <c r="E63" i="5"/>
  <c r="D63" i="5"/>
  <c r="C63" i="5"/>
  <c r="J62" i="5"/>
  <c r="G62" i="5"/>
  <c r="F62" i="5"/>
  <c r="E62" i="5"/>
  <c r="D62" i="5"/>
  <c r="C62" i="5"/>
  <c r="J61" i="5"/>
  <c r="G61" i="5"/>
  <c r="F61" i="5"/>
  <c r="E61" i="5"/>
  <c r="D61" i="5"/>
  <c r="C61" i="5"/>
  <c r="J60" i="5"/>
  <c r="G60" i="5"/>
  <c r="F60" i="5"/>
  <c r="E60" i="5"/>
  <c r="D60" i="5"/>
  <c r="C60" i="5"/>
  <c r="J59" i="5"/>
  <c r="G59" i="5"/>
  <c r="F59" i="5"/>
  <c r="E59" i="5"/>
  <c r="D59" i="5"/>
  <c r="C59" i="5"/>
  <c r="J58" i="5"/>
  <c r="G58" i="5"/>
  <c r="F58" i="5"/>
  <c r="E58" i="5"/>
  <c r="D58" i="5"/>
  <c r="C58" i="5"/>
  <c r="J57" i="5"/>
  <c r="G57" i="5"/>
  <c r="F57" i="5"/>
  <c r="E57" i="5"/>
  <c r="D57" i="5"/>
  <c r="C57" i="5"/>
  <c r="J56" i="5"/>
  <c r="G56" i="5"/>
  <c r="F56" i="5"/>
  <c r="E56" i="5"/>
  <c r="D56" i="5"/>
  <c r="C56" i="5"/>
  <c r="J55" i="5"/>
  <c r="G55" i="5"/>
  <c r="F55" i="5"/>
  <c r="E55" i="5"/>
  <c r="D55" i="5"/>
  <c r="C55" i="5"/>
  <c r="J54" i="5"/>
  <c r="G54" i="5"/>
  <c r="F54" i="5"/>
  <c r="E54" i="5"/>
  <c r="D54" i="5"/>
  <c r="C54" i="5"/>
  <c r="J53" i="5"/>
  <c r="G53" i="5"/>
  <c r="F53" i="5"/>
  <c r="E53" i="5"/>
  <c r="D53" i="5"/>
  <c r="C53" i="5"/>
  <c r="J52" i="5"/>
  <c r="G52" i="5"/>
  <c r="F52" i="5"/>
  <c r="E52" i="5"/>
  <c r="D52" i="5"/>
  <c r="C52" i="5"/>
  <c r="J51" i="5"/>
  <c r="G51" i="5"/>
  <c r="F51" i="5"/>
  <c r="E51" i="5"/>
  <c r="D51" i="5"/>
  <c r="C51" i="5"/>
  <c r="J50" i="5"/>
  <c r="G50" i="5"/>
  <c r="F50" i="5"/>
  <c r="E50" i="5"/>
  <c r="D50" i="5"/>
  <c r="C50" i="5"/>
  <c r="J49" i="5"/>
  <c r="G49" i="5"/>
  <c r="F49" i="5"/>
  <c r="E49" i="5"/>
  <c r="D49" i="5"/>
  <c r="C49" i="5"/>
  <c r="J48" i="5"/>
  <c r="G48" i="5"/>
  <c r="F48" i="5"/>
  <c r="E48" i="5"/>
  <c r="D48" i="5"/>
  <c r="C48" i="5"/>
  <c r="J47" i="5"/>
  <c r="G47" i="5"/>
  <c r="F47" i="5"/>
  <c r="E47" i="5"/>
  <c r="D47" i="5"/>
  <c r="C47" i="5"/>
  <c r="J46" i="5"/>
  <c r="G46" i="5"/>
  <c r="F46" i="5"/>
  <c r="E46" i="5"/>
  <c r="D46" i="5"/>
  <c r="C46" i="5"/>
  <c r="J45" i="5"/>
  <c r="G45" i="5"/>
  <c r="F45" i="5"/>
  <c r="E45" i="5"/>
  <c r="D45" i="5"/>
  <c r="C45" i="5"/>
  <c r="J44" i="5"/>
  <c r="G44" i="5"/>
  <c r="F44" i="5"/>
  <c r="E44" i="5"/>
  <c r="D44" i="5"/>
  <c r="C44" i="5"/>
  <c r="J43" i="5"/>
  <c r="G43" i="5"/>
  <c r="F43" i="5"/>
  <c r="E43" i="5"/>
  <c r="D43" i="5"/>
  <c r="C43" i="5"/>
  <c r="J42" i="5"/>
  <c r="G42" i="5"/>
  <c r="F42" i="5"/>
  <c r="E42" i="5"/>
  <c r="D42" i="5"/>
  <c r="C42" i="5"/>
  <c r="J41" i="5"/>
  <c r="G41" i="5"/>
  <c r="F41" i="5"/>
  <c r="E41" i="5"/>
  <c r="D41" i="5"/>
  <c r="C41" i="5"/>
  <c r="J40" i="5"/>
  <c r="G40" i="5"/>
  <c r="F40" i="5"/>
  <c r="E40" i="5"/>
  <c r="D40" i="5"/>
  <c r="C40" i="5"/>
  <c r="J39" i="5"/>
  <c r="G39" i="5"/>
  <c r="F39" i="5"/>
  <c r="E39" i="5"/>
  <c r="D39" i="5"/>
  <c r="C39" i="5"/>
  <c r="J38" i="5"/>
  <c r="G38" i="5"/>
  <c r="F38" i="5"/>
  <c r="E38" i="5"/>
  <c r="D38" i="5"/>
  <c r="C38" i="5"/>
  <c r="J37" i="5"/>
  <c r="G37" i="5"/>
  <c r="F37" i="5"/>
  <c r="E37" i="5"/>
  <c r="D37" i="5"/>
  <c r="C37" i="5"/>
  <c r="J36" i="5"/>
  <c r="G36" i="5"/>
  <c r="F36" i="5"/>
  <c r="E36" i="5"/>
  <c r="D36" i="5"/>
  <c r="C36" i="5"/>
  <c r="J35" i="5"/>
  <c r="G35" i="5"/>
  <c r="F35" i="5"/>
  <c r="E35" i="5"/>
  <c r="D35" i="5"/>
  <c r="C35" i="5"/>
  <c r="J34" i="5"/>
  <c r="G34" i="5"/>
  <c r="F34" i="5"/>
  <c r="E34" i="5"/>
  <c r="D34" i="5"/>
  <c r="C34" i="5"/>
  <c r="J33" i="5"/>
  <c r="G33" i="5"/>
  <c r="F33" i="5"/>
  <c r="E33" i="5"/>
  <c r="D33" i="5"/>
  <c r="C33" i="5"/>
  <c r="J32" i="5"/>
  <c r="G32" i="5"/>
  <c r="F32" i="5"/>
  <c r="E32" i="5"/>
  <c r="D32" i="5"/>
  <c r="C32" i="5"/>
  <c r="J31" i="5"/>
  <c r="G31" i="5"/>
  <c r="F31" i="5"/>
  <c r="E31" i="5"/>
  <c r="D31" i="5"/>
  <c r="C31" i="5"/>
  <c r="J30" i="5"/>
  <c r="G30" i="5"/>
  <c r="F30" i="5"/>
  <c r="E30" i="5"/>
  <c r="D30" i="5"/>
  <c r="C30" i="5"/>
  <c r="J29" i="5"/>
  <c r="G29" i="5"/>
  <c r="F29" i="5"/>
  <c r="E29" i="5"/>
  <c r="D29" i="5"/>
  <c r="C29" i="5"/>
  <c r="J28" i="5"/>
  <c r="G28" i="5"/>
  <c r="F28" i="5"/>
  <c r="E28" i="5"/>
  <c r="D28" i="5"/>
  <c r="C28" i="5"/>
  <c r="J27" i="5"/>
  <c r="G27" i="5"/>
  <c r="F27" i="5"/>
  <c r="E27" i="5"/>
  <c r="D27" i="5"/>
  <c r="C27" i="5"/>
  <c r="J26" i="5"/>
  <c r="G26" i="5"/>
  <c r="F26" i="5"/>
  <c r="E26" i="5"/>
  <c r="D26" i="5"/>
  <c r="C26" i="5"/>
  <c r="J25" i="5"/>
  <c r="G25" i="5"/>
  <c r="F25" i="5"/>
  <c r="E25" i="5"/>
  <c r="D25" i="5"/>
  <c r="C25" i="5"/>
  <c r="J24" i="5"/>
  <c r="G24" i="5"/>
  <c r="F24" i="5"/>
  <c r="E24" i="5"/>
  <c r="D24" i="5"/>
  <c r="C24" i="5"/>
  <c r="J23" i="5"/>
  <c r="G23" i="5"/>
  <c r="F23" i="5"/>
  <c r="E23" i="5"/>
  <c r="D23" i="5"/>
  <c r="C23" i="5"/>
  <c r="J22" i="5"/>
  <c r="G22" i="5"/>
  <c r="F22" i="5"/>
  <c r="E22" i="5"/>
  <c r="D22" i="5"/>
  <c r="C22" i="5"/>
  <c r="J21" i="5"/>
  <c r="G21" i="5"/>
  <c r="F21" i="5"/>
  <c r="E21" i="5"/>
  <c r="D21" i="5"/>
  <c r="C21" i="5"/>
  <c r="J20" i="5"/>
  <c r="G20" i="5"/>
  <c r="F20" i="5"/>
  <c r="E20" i="5"/>
  <c r="D20" i="5"/>
  <c r="C20" i="5"/>
  <c r="J19" i="5"/>
  <c r="G19" i="5"/>
  <c r="F19" i="5"/>
  <c r="E19" i="5"/>
  <c r="D19" i="5"/>
  <c r="C19" i="5"/>
  <c r="J18" i="5"/>
  <c r="G18" i="5"/>
  <c r="F18" i="5"/>
  <c r="E18" i="5"/>
  <c r="D18" i="5"/>
  <c r="C18" i="5"/>
  <c r="J17" i="5"/>
  <c r="G17" i="5"/>
  <c r="F17" i="5"/>
  <c r="E17" i="5"/>
  <c r="D17" i="5"/>
  <c r="C17" i="5"/>
  <c r="J16" i="5"/>
  <c r="G16" i="5"/>
  <c r="F16" i="5"/>
  <c r="E16" i="5"/>
  <c r="D16" i="5"/>
  <c r="C16" i="5"/>
  <c r="J15" i="5"/>
  <c r="G15" i="5"/>
  <c r="F15" i="5"/>
  <c r="E15" i="5"/>
  <c r="D15" i="5"/>
  <c r="C15" i="5"/>
  <c r="J14" i="5"/>
  <c r="E14" i="5"/>
  <c r="G14" i="5" s="1"/>
  <c r="D14" i="5"/>
  <c r="F14" i="5" s="1"/>
  <c r="C14" i="5"/>
  <c r="J13" i="5"/>
  <c r="E13" i="5"/>
  <c r="G13" i="5" s="1"/>
  <c r="D13" i="5"/>
  <c r="F13" i="5" s="1"/>
  <c r="C13" i="5"/>
  <c r="J12" i="5"/>
  <c r="E12" i="5"/>
  <c r="G12" i="5" s="1"/>
  <c r="D12" i="5"/>
  <c r="F12" i="5" s="1"/>
  <c r="C12" i="5"/>
  <c r="J11" i="5"/>
  <c r="E11" i="5"/>
  <c r="G11" i="5" s="1"/>
  <c r="D11" i="5"/>
  <c r="F11" i="5" s="1"/>
  <c r="C11" i="5"/>
  <c r="J10" i="5"/>
  <c r="F2" i="5"/>
  <c r="F4" i="5" l="1"/>
  <c r="G4" i="5"/>
  <c r="F5" i="5"/>
  <c r="F6" i="5" s="1"/>
  <c r="F7" i="5" s="1"/>
  <c r="G2" i="6"/>
  <c r="G1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E143" i="6"/>
  <c r="A143" i="6"/>
  <c r="E142" i="6"/>
  <c r="A142" i="6"/>
  <c r="E141" i="6"/>
  <c r="A141" i="6"/>
  <c r="E140" i="6"/>
  <c r="A140" i="6"/>
  <c r="E139" i="6"/>
  <c r="A139" i="6"/>
  <c r="E138" i="6"/>
  <c r="A138" i="6"/>
  <c r="E137" i="6"/>
  <c r="A137" i="6"/>
  <c r="E136" i="6"/>
  <c r="A136" i="6"/>
  <c r="E135" i="6"/>
  <c r="A135" i="6"/>
  <c r="E134" i="6"/>
  <c r="A134" i="6"/>
  <c r="E133" i="6"/>
  <c r="A133" i="6"/>
  <c r="E132" i="6"/>
  <c r="A132" i="6"/>
  <c r="E131" i="6"/>
  <c r="A131" i="6"/>
  <c r="E130" i="6"/>
  <c r="A130" i="6"/>
  <c r="E129" i="6"/>
  <c r="A129" i="6"/>
  <c r="E128" i="6"/>
  <c r="A128" i="6"/>
  <c r="E127" i="6"/>
  <c r="A127" i="6"/>
  <c r="E126" i="6"/>
  <c r="A126" i="6"/>
  <c r="E125" i="6"/>
  <c r="A125" i="6"/>
  <c r="E124" i="6"/>
  <c r="A124" i="6"/>
  <c r="E123" i="6"/>
  <c r="A123" i="6"/>
  <c r="E122" i="6"/>
  <c r="A122" i="6"/>
  <c r="E121" i="6"/>
  <c r="A121" i="6"/>
  <c r="E120" i="6"/>
  <c r="A120" i="6"/>
  <c r="E119" i="6"/>
  <c r="A119" i="6"/>
  <c r="E118" i="6"/>
  <c r="A118" i="6"/>
  <c r="E117" i="6"/>
  <c r="A117" i="6"/>
  <c r="E116" i="6"/>
  <c r="A116" i="6"/>
  <c r="E115" i="6"/>
  <c r="A115" i="6"/>
  <c r="E114" i="6"/>
  <c r="A114" i="6"/>
  <c r="E113" i="6"/>
  <c r="A113" i="6"/>
  <c r="E112" i="6"/>
  <c r="A112" i="6"/>
  <c r="E111" i="6"/>
  <c r="A111" i="6"/>
  <c r="E110" i="6"/>
  <c r="A110" i="6"/>
  <c r="E109" i="6"/>
  <c r="A109" i="6"/>
  <c r="E108" i="6"/>
  <c r="A108" i="6"/>
  <c r="E107" i="6"/>
  <c r="A107" i="6"/>
  <c r="E106" i="6"/>
  <c r="A106" i="6"/>
  <c r="E105" i="6"/>
  <c r="A105" i="6"/>
  <c r="E104" i="6"/>
  <c r="A104" i="6"/>
  <c r="E103" i="6"/>
  <c r="A103" i="6"/>
  <c r="E102" i="6"/>
  <c r="A102" i="6"/>
  <c r="E101" i="6"/>
  <c r="A101" i="6"/>
  <c r="E100" i="6"/>
  <c r="A100" i="6"/>
  <c r="E99" i="6"/>
  <c r="A99" i="6"/>
  <c r="E98" i="6"/>
  <c r="A98" i="6"/>
  <c r="E97" i="6"/>
  <c r="A97" i="6"/>
  <c r="E96" i="6"/>
  <c r="A96" i="6"/>
  <c r="E95" i="6"/>
  <c r="A95" i="6"/>
  <c r="E94" i="6"/>
  <c r="A94" i="6"/>
  <c r="E93" i="6"/>
  <c r="A93" i="6"/>
  <c r="E92" i="6"/>
  <c r="A92" i="6"/>
  <c r="E91" i="6"/>
  <c r="A91" i="6"/>
  <c r="E90" i="6"/>
  <c r="A90" i="6"/>
  <c r="E89" i="6"/>
  <c r="A89" i="6"/>
  <c r="E88" i="6"/>
  <c r="A88" i="6"/>
  <c r="E87" i="6"/>
  <c r="A87" i="6"/>
  <c r="E86" i="6"/>
  <c r="A86" i="6"/>
  <c r="E85" i="6"/>
  <c r="A85" i="6"/>
  <c r="E84" i="6"/>
  <c r="A84" i="6"/>
  <c r="E83" i="6"/>
  <c r="A83" i="6"/>
  <c r="E82" i="6"/>
  <c r="A82" i="6"/>
  <c r="E81" i="6"/>
  <c r="A81" i="6"/>
  <c r="E80" i="6"/>
  <c r="A80" i="6"/>
  <c r="E79" i="6"/>
  <c r="A79" i="6"/>
  <c r="E78" i="6"/>
  <c r="A78" i="6"/>
  <c r="E77" i="6"/>
  <c r="A77" i="6"/>
  <c r="E76" i="6"/>
  <c r="A76" i="6"/>
  <c r="E75" i="6"/>
  <c r="A75" i="6"/>
  <c r="E74" i="6"/>
  <c r="A74" i="6"/>
  <c r="E73" i="6"/>
  <c r="A73" i="6"/>
  <c r="E72" i="6"/>
  <c r="A72" i="6"/>
  <c r="E71" i="6"/>
  <c r="A71" i="6"/>
  <c r="E70" i="6"/>
  <c r="A70" i="6"/>
  <c r="E69" i="6"/>
  <c r="A69" i="6"/>
  <c r="E68" i="6"/>
  <c r="A68" i="6"/>
  <c r="E67" i="6"/>
  <c r="A67" i="6"/>
  <c r="E66" i="6"/>
  <c r="A66" i="6"/>
  <c r="E65" i="6"/>
  <c r="A65" i="6"/>
  <c r="E64" i="6"/>
  <c r="A64" i="6"/>
  <c r="E63" i="6"/>
  <c r="A63" i="6"/>
  <c r="E62" i="6"/>
  <c r="A62" i="6"/>
  <c r="E61" i="6"/>
  <c r="A61" i="6"/>
  <c r="E60" i="6"/>
  <c r="A60" i="6"/>
  <c r="E59" i="6"/>
  <c r="A59" i="6"/>
  <c r="E58" i="6"/>
  <c r="A58" i="6"/>
  <c r="E57" i="6"/>
  <c r="A57" i="6"/>
  <c r="E56" i="6"/>
  <c r="A56" i="6"/>
  <c r="E55" i="6"/>
  <c r="A55" i="6"/>
  <c r="E54" i="6"/>
  <c r="A54" i="6"/>
  <c r="E53" i="6"/>
  <c r="A53" i="6"/>
  <c r="E52" i="6"/>
  <c r="A52" i="6"/>
  <c r="E51" i="6"/>
  <c r="A51" i="6"/>
  <c r="E50" i="6"/>
  <c r="A50" i="6"/>
  <c r="E49" i="6"/>
  <c r="A49" i="6"/>
  <c r="E48" i="6"/>
  <c r="A48" i="6"/>
  <c r="E47" i="6"/>
  <c r="A47" i="6"/>
  <c r="E46" i="6"/>
  <c r="A46" i="6"/>
  <c r="E45" i="6"/>
  <c r="A45" i="6"/>
  <c r="E44" i="6"/>
  <c r="A44" i="6"/>
  <c r="E43" i="6"/>
  <c r="A43" i="6"/>
  <c r="E42" i="6"/>
  <c r="A42" i="6"/>
  <c r="E41" i="6"/>
  <c r="A41" i="6"/>
  <c r="E40" i="6"/>
  <c r="A40" i="6"/>
  <c r="E39" i="6"/>
  <c r="A39" i="6"/>
  <c r="E38" i="6"/>
  <c r="A38" i="6"/>
  <c r="E37" i="6"/>
  <c r="A37" i="6"/>
  <c r="E36" i="6"/>
  <c r="A36" i="6"/>
  <c r="E35" i="6"/>
  <c r="A35" i="6"/>
  <c r="E34" i="6"/>
  <c r="A34" i="6"/>
  <c r="E33" i="6"/>
  <c r="A33" i="6"/>
  <c r="E32" i="6"/>
  <c r="A32" i="6"/>
  <c r="E31" i="6"/>
  <c r="A31" i="6"/>
  <c r="E30" i="6"/>
  <c r="A30" i="6"/>
  <c r="E29" i="6"/>
  <c r="A29" i="6"/>
  <c r="E28" i="6"/>
  <c r="A28" i="6"/>
  <c r="E27" i="6"/>
  <c r="A27" i="6"/>
  <c r="E26" i="6"/>
  <c r="A26" i="6"/>
  <c r="E25" i="6"/>
  <c r="A25" i="6"/>
  <c r="E24" i="6"/>
  <c r="A24" i="6"/>
  <c r="E23" i="6"/>
  <c r="A23" i="6"/>
  <c r="E22" i="6"/>
  <c r="A22" i="6"/>
  <c r="E21" i="6"/>
  <c r="A21" i="6"/>
  <c r="E20" i="6"/>
  <c r="A20" i="6"/>
  <c r="E19" i="6"/>
  <c r="A19" i="6"/>
  <c r="E18" i="6"/>
  <c r="A18" i="6"/>
  <c r="E17" i="6"/>
  <c r="A17" i="6"/>
  <c r="E16" i="6"/>
  <c r="A16" i="6"/>
  <c r="E15" i="6"/>
  <c r="A15" i="6"/>
  <c r="E14" i="6"/>
  <c r="A14" i="6"/>
  <c r="E13" i="6"/>
  <c r="A13" i="6"/>
  <c r="E12" i="6"/>
  <c r="A12" i="6"/>
  <c r="E11" i="6"/>
  <c r="A11" i="6"/>
  <c r="E10" i="6"/>
  <c r="A10" i="6"/>
  <c r="E9" i="6"/>
  <c r="A9" i="6"/>
  <c r="E8" i="6"/>
  <c r="A8" i="6"/>
  <c r="E7" i="6"/>
  <c r="A7" i="6"/>
  <c r="F8" i="5" l="1"/>
</calcChain>
</file>

<file path=xl/sharedStrings.xml><?xml version="1.0" encoding="utf-8"?>
<sst xmlns="http://schemas.openxmlformats.org/spreadsheetml/2006/main" count="1513" uniqueCount="868">
  <si>
    <t>SR1011</t>
  </si>
  <si>
    <t>Termo Cuidar 700ml Blanco</t>
  </si>
  <si>
    <t>SR1011/1</t>
  </si>
  <si>
    <t>Termo Cuidar 700ml Negro</t>
  </si>
  <si>
    <t>=VLOOKUP(A446;'C:\Users\Lenovo\Downloads\[OC saldo promoción (JENE).xlsx]PORTFOLIO - SANREMO'!C$3:J$772;8;FALSE)</t>
  </si>
  <si>
    <t>SR1011/60</t>
  </si>
  <si>
    <t>Termo Cuidar 700ml + Porta Filtro en Caja de Regalo Rosa</t>
  </si>
  <si>
    <t>SR1011/61</t>
  </si>
  <si>
    <t>Termo Cuidar 700ml + Porta Filtro en Caja de Regalo Blanco</t>
  </si>
  <si>
    <t>SR1015/3</t>
  </si>
  <si>
    <t>Termo Bomba Expressar 1L Rojo</t>
  </si>
  <si>
    <t>SR1015/50</t>
  </si>
  <si>
    <t>Termo Bomba Expressar Negro 1L Con Serigrafía"Café"</t>
  </si>
  <si>
    <t>SR1015/51</t>
  </si>
  <si>
    <t>Termo Bomba Expressar Blanco 1L Con Serigrafía "Leche"</t>
  </si>
  <si>
    <t>SR1016</t>
  </si>
  <si>
    <t>Termo Bomba Expressar de 1.8 lts. Blanco</t>
  </si>
  <si>
    <t>SR1016/1</t>
  </si>
  <si>
    <t>Termo Bomba Expressar de 1.8 lts. Negro</t>
  </si>
  <si>
    <t>SR1016/A</t>
  </si>
  <si>
    <t>Ampolla Repuesto 1.8lts.</t>
  </si>
  <si>
    <t>SR1001</t>
  </si>
  <si>
    <t>Termo Adorar  0.25lts. Blanco</t>
  </si>
  <si>
    <t>SR1001/1</t>
  </si>
  <si>
    <t>Termo Adorar  0.25lts. Negro</t>
  </si>
  <si>
    <t>SR1001/2</t>
  </si>
  <si>
    <t>Termo Adorar  0.25lts. Celeste</t>
  </si>
  <si>
    <t>SR1001/3</t>
  </si>
  <si>
    <t>Termo Adorar  0.25lts. Rosa</t>
  </si>
  <si>
    <t/>
  </si>
  <si>
    <t>1763/33</t>
  </si>
  <si>
    <t>Rectangular de 330ml 136X102X56Mm</t>
  </si>
  <si>
    <t>1762/33</t>
  </si>
  <si>
    <t>Rectangular Alto de 537ml 136X102X84Mm</t>
  </si>
  <si>
    <t>1761/33</t>
  </si>
  <si>
    <t>Rectangular Alto de 770ml 136X102X110Mm</t>
  </si>
  <si>
    <t>1760/33</t>
  </si>
  <si>
    <t>Rectangular Alto de 1400ml 136X102X185Mm</t>
  </si>
  <si>
    <t>1753/33</t>
  </si>
  <si>
    <t>Rectangular c/División de 730ml 207X137X57Mm</t>
  </si>
  <si>
    <t>1752/33</t>
  </si>
  <si>
    <t>Rectangular  de 820ml 207X137X57Mm</t>
  </si>
  <si>
    <t>1751/33</t>
  </si>
  <si>
    <t>Rectangular  de 1240ml 207X137X76Mm</t>
  </si>
  <si>
    <t>1750/33</t>
  </si>
  <si>
    <t>Rectangular  de 2000ml 207X137X113Mm</t>
  </si>
  <si>
    <t>1742/34</t>
  </si>
  <si>
    <t>Rectangular c/División de 1600ml 253X174X62Mm</t>
  </si>
  <si>
    <t>1742/33</t>
  </si>
  <si>
    <t>Rectangular  de 1600ml 253X174X62Mm</t>
  </si>
  <si>
    <t>1741/33</t>
  </si>
  <si>
    <t>Rectangular  de 2500ml 253X174X89Mm</t>
  </si>
  <si>
    <t>1740/33</t>
  </si>
  <si>
    <t>Rectangular  de 3500ml 253X174X122Mm</t>
  </si>
  <si>
    <t>1741/33/C</t>
  </si>
  <si>
    <t>Set x 3 Herméticos (1741+1751+1763)</t>
  </si>
  <si>
    <t>1742/22</t>
  </si>
  <si>
    <t>1741/21C</t>
  </si>
  <si>
    <t>CÓDIGO</t>
  </si>
  <si>
    <t>PRECIO</t>
  </si>
  <si>
    <t>UxC</t>
  </si>
  <si>
    <t>Hermético Redondo de 230ml</t>
  </si>
  <si>
    <t>Hermético Redondo de 440ml.</t>
  </si>
  <si>
    <t>Hermético Redondo de 680ml</t>
  </si>
  <si>
    <t>Hermético Redondo de 620ml</t>
  </si>
  <si>
    <t>Hermético Redondo 1,3 lts.</t>
  </si>
  <si>
    <t>Hermético Cuadrado 200ml</t>
  </si>
  <si>
    <t>Hermético Cuadrado 360ml</t>
  </si>
  <si>
    <t>Hermético Cuadrado 530ml</t>
  </si>
  <si>
    <t>Hermético Cuadrado 800ml</t>
  </si>
  <si>
    <t>125/C</t>
  </si>
  <si>
    <t>Set x 2 Piezas Cuadrados de 800ml</t>
  </si>
  <si>
    <t>Hermético Cuadrado 1,9 lts.</t>
  </si>
  <si>
    <t>130/C</t>
  </si>
  <si>
    <t>Set de 3 Piezas (120+125+130)</t>
  </si>
  <si>
    <t>Hermético Cuadrado Alto 800ml</t>
  </si>
  <si>
    <t>Hermético Cuadrado Alto 1,7 lts.</t>
  </si>
  <si>
    <t>Hermético Rectangular 0.300lts.</t>
  </si>
  <si>
    <t>Hermético Rectangular 0.800lts.</t>
  </si>
  <si>
    <t>Hermético Rectangular 1.800lts.</t>
  </si>
  <si>
    <t>170/C</t>
  </si>
  <si>
    <t>Set de 3 Piezas (160+165+170)</t>
  </si>
  <si>
    <t>Hermético Para Fiambres 1.400lts.</t>
  </si>
  <si>
    <t>Hermético Rectangular 0.600lts.</t>
  </si>
  <si>
    <t>Hermético Rectangular 1.400lts.</t>
  </si>
  <si>
    <t>Hermético Rectangular 3.200lts.</t>
  </si>
  <si>
    <t>190/C</t>
  </si>
  <si>
    <t>Set x 3 Piezas (180+185+190)</t>
  </si>
  <si>
    <t>Packs Promocionales y Ferias de Precios</t>
  </si>
  <si>
    <t>160/7</t>
  </si>
  <si>
    <t>Pack "Lleve 8 Pague 7" Rectang. 0.30lts.</t>
  </si>
  <si>
    <t>165/7</t>
  </si>
  <si>
    <t>Pack"Lleve 6 Pague 5" Rectang. 0.80lts.</t>
  </si>
  <si>
    <t>170/7</t>
  </si>
  <si>
    <t>Pack "Lleve 4 Pague 3" Rectangu. 1.8lts.</t>
  </si>
  <si>
    <t>180/7</t>
  </si>
  <si>
    <t>Pack "Lleve 5 Pague 4" Rectang. 0.60lts.</t>
  </si>
  <si>
    <t>Vianda Sandwichera 13X13X4,5cm.</t>
  </si>
  <si>
    <t>Vianda Sandwichera Doble 13X14X8,5cm.</t>
  </si>
  <si>
    <t>Porta Huevos x 12</t>
  </si>
  <si>
    <t>Porta Cepillo de Dientes</t>
  </si>
  <si>
    <t xml:space="preserve">Pastillero Dia y Noche             </t>
  </si>
  <si>
    <t xml:space="preserve">Pastillero y Organizador       </t>
  </si>
  <si>
    <t>Hermético Para Ajos 0,165lts.</t>
  </si>
  <si>
    <t>Hermético P/ Fideos 1 litro (7.4X7.4X27.7cm)</t>
  </si>
  <si>
    <t>Hermético Para Cebollas 0,400lts.</t>
  </si>
  <si>
    <t>697/1</t>
  </si>
  <si>
    <t>Hermético Para Tomates 0,400lts.</t>
  </si>
  <si>
    <t>Set x 3 Herméticos Para Conservar</t>
  </si>
  <si>
    <t>Galletitero 600ml. (7,4X18.7cm)</t>
  </si>
  <si>
    <t>Cerealero 800ml. (10X11.4cm)</t>
  </si>
  <si>
    <t>Galletitero 1 Litro (10.2X10.2Xx17.4cm)</t>
  </si>
  <si>
    <t>Galletitero 1,7 Litros (10.2X10.2Xx25cm)</t>
  </si>
  <si>
    <t>Caramelera Mediana 2,200 Litros</t>
  </si>
  <si>
    <t>Potes Hermeticos 1000ml.c/Tapa a Rosca</t>
  </si>
  <si>
    <t>Potes Hermeticos 2100ml.c/Tapa a Rosca</t>
  </si>
  <si>
    <t>Potes Hermeticos   680ml.c/Tapa a Rosca</t>
  </si>
  <si>
    <t xml:space="preserve">Potes Hermeticos  1400ml.c/Tapa a Rosca </t>
  </si>
  <si>
    <t xml:space="preserve">Rectangular Chico 0,82 lts. </t>
  </si>
  <si>
    <t>Rectangular Mediano 1,80 lts.</t>
  </si>
  <si>
    <t>Rectangular Grande 3,60 lts.</t>
  </si>
  <si>
    <t>370/C</t>
  </si>
  <si>
    <t>Set x 3 Herméticos Rect. (360+365+370)</t>
  </si>
  <si>
    <t>Snack Box Con Divisiones 1,080 lts.</t>
  </si>
  <si>
    <t>Rectangular Alto Chico 1,30 lts.</t>
  </si>
  <si>
    <t>Rectangular Alto Mediano 2,80 lts.</t>
  </si>
  <si>
    <t>Rectangular Alto Grande 5,20 lts.</t>
  </si>
  <si>
    <t>390/2C</t>
  </si>
  <si>
    <t>Set x 3 Herméticos Rect. (380+385+390)</t>
  </si>
  <si>
    <t>Rectangular  Grande 6,1 lts. 31X31X9cm</t>
  </si>
  <si>
    <t>Cuadrado Chico 0,58 lts.</t>
  </si>
  <si>
    <t>Cuadrado Mediano 1,50 lts.</t>
  </si>
  <si>
    <t>Cuadrado Grande 2,90 lts.</t>
  </si>
  <si>
    <t>460/C</t>
  </si>
  <si>
    <t>Setx 3 Herm. Cuadrados (450+455+460)</t>
  </si>
  <si>
    <t>Cuadrado Alto Chico 1,20 lts.</t>
  </si>
  <si>
    <t>Cuadrado Alto Mediano 1,95 lts.</t>
  </si>
  <si>
    <t>Cuadrado Alto Grande 3,88 lts.</t>
  </si>
  <si>
    <t>Redondo Chico 0,64 lts.</t>
  </si>
  <si>
    <t>Redondo Mediano 1,58 lts.</t>
  </si>
  <si>
    <t>Redondo Grande 2,74 lts.</t>
  </si>
  <si>
    <t>Redondo Super Grande 5,24 lts.</t>
  </si>
  <si>
    <t>Organizador de Tapas</t>
  </si>
  <si>
    <t>Jarra Oval Con Tapa 1,30 lts.</t>
  </si>
  <si>
    <t>Jarra Oval Con Tapa 2,00 lts.</t>
  </si>
  <si>
    <t>Vaso Con Asa 0,450 Litros</t>
  </si>
  <si>
    <t>Pack x 4 Vasos 270ml.</t>
  </si>
  <si>
    <t>Jarra Redonda Con Tapa 2,00 lts.</t>
  </si>
  <si>
    <t>Jarra Redonda Con Tapa 1,00 lts.</t>
  </si>
  <si>
    <t>Jarra Exprimidor 1,00 lts.</t>
  </si>
  <si>
    <t>450/7</t>
  </si>
  <si>
    <t>Pack Promocional Lleve 4 y Pague 3</t>
  </si>
  <si>
    <t>455/7</t>
  </si>
  <si>
    <t>Pack Promocional Lleve 3 y Pague 2</t>
  </si>
  <si>
    <t>Regadera 2 Litros</t>
  </si>
  <si>
    <t>Regadera Con Lluvia 7 Litros</t>
  </si>
  <si>
    <t>Regadera Con Lluvia 14 Litros</t>
  </si>
  <si>
    <t>703/57</t>
  </si>
  <si>
    <t>704/57</t>
  </si>
  <si>
    <t>706/57</t>
  </si>
  <si>
    <t>706/C</t>
  </si>
  <si>
    <t>706/57/C</t>
  </si>
  <si>
    <t>707/57</t>
  </si>
  <si>
    <t>709/57</t>
  </si>
  <si>
    <t>712/57</t>
  </si>
  <si>
    <t>712/C</t>
  </si>
  <si>
    <t>712/57/C</t>
  </si>
  <si>
    <t>708/57</t>
  </si>
  <si>
    <t>711/57</t>
  </si>
  <si>
    <t>717/57</t>
  </si>
  <si>
    <t>719/57</t>
  </si>
  <si>
    <t>722/57</t>
  </si>
  <si>
    <t>722/C</t>
  </si>
  <si>
    <t>722/57/C</t>
  </si>
  <si>
    <t>718/57</t>
  </si>
  <si>
    <t>721/57</t>
  </si>
  <si>
    <t>723/57</t>
  </si>
  <si>
    <t>723/C</t>
  </si>
  <si>
    <t>723/57/C</t>
  </si>
  <si>
    <t>714/57</t>
  </si>
  <si>
    <t>716/57</t>
  </si>
  <si>
    <t>Organizadora Pequeña 6L</t>
  </si>
  <si>
    <t xml:space="preserve">Organizadora Mediana 11L </t>
  </si>
  <si>
    <t>Organizadora Pequeña Alta 14L</t>
  </si>
  <si>
    <t xml:space="preserve">Organizadora Mediana Baja 20L   </t>
  </si>
  <si>
    <t xml:space="preserve">Organizadora Mediana 29L     </t>
  </si>
  <si>
    <t>941/126</t>
  </si>
  <si>
    <t xml:space="preserve">Organizadora Mediana 29L  Rosa    </t>
  </si>
  <si>
    <t>941/127</t>
  </si>
  <si>
    <t>Organizadora Mediana 29L Azul</t>
  </si>
  <si>
    <t>Organizadora Mediana Alta 36L</t>
  </si>
  <si>
    <t>Organizadora Grande Baja 48L</t>
  </si>
  <si>
    <t>971/8</t>
  </si>
  <si>
    <t xml:space="preserve">Organizadora Mediana 68L  Rosa </t>
  </si>
  <si>
    <t>971/82</t>
  </si>
  <si>
    <t>Organizadora Mediana 68L   Azul</t>
  </si>
  <si>
    <t>Organizadora Grande Alta 80L</t>
  </si>
  <si>
    <t>Miniorganizador Bajo 1,0 lts. 18,6X14,5X7</t>
  </si>
  <si>
    <t>Organizador Top Stock 2,3 lts.26X18X9</t>
  </si>
  <si>
    <t>Organizador Top Stock 4,3 lts. 26X18X15</t>
  </si>
  <si>
    <t>Organizador Top Stock 8,6 lts. 40X27X13</t>
  </si>
  <si>
    <t>Organizador Top Stock 16,7lts.40X27X33</t>
  </si>
  <si>
    <t>Organizador Top Stock 26,5 lts. 40X27X36</t>
  </si>
  <si>
    <t>Organizador Top Stock 28,2 lts.56X39X20</t>
  </si>
  <si>
    <t>Organizador Top Stock 56,0 lts.56X39X37</t>
  </si>
  <si>
    <t>Organizador Top Stock 42 lts.65X45X25</t>
  </si>
  <si>
    <t>Organizador Top Stock 72 lts.65X45X40</t>
  </si>
  <si>
    <t>Organizador Alto 65 Lt.-64X44X66cm.</t>
  </si>
  <si>
    <t>Recipiente 8,8 lts. Rect.Tapa Vaivén</t>
  </si>
  <si>
    <t>Recipiente 20.5 lts. Rect.Tapa Vaivén</t>
  </si>
  <si>
    <t>Recipiente Redondo 6 lts. Negro</t>
  </si>
  <si>
    <t>271/1</t>
  </si>
  <si>
    <t>Recipiente Redondo 6 lts.Blanco</t>
  </si>
  <si>
    <t>272/1</t>
  </si>
  <si>
    <t>Recipiente Pedal 6 Litros Blanco</t>
  </si>
  <si>
    <t>Basurero de Cocina 2,5 Litros Blanco</t>
  </si>
  <si>
    <t>2203/20</t>
  </si>
  <si>
    <t xml:space="preserve">   Basurero de Cocina 2,5 Litros Negro</t>
  </si>
  <si>
    <t>Basurero Vaivén de 5 Litros Blanco</t>
  </si>
  <si>
    <t>2205/20</t>
  </si>
  <si>
    <t xml:space="preserve"> Basurero Vaivén de 5 Litros Negro</t>
  </si>
  <si>
    <t>Basurero Redondo 6 Litros Blanco</t>
  </si>
  <si>
    <t>2206/20</t>
  </si>
  <si>
    <t>Basurero Redondo 6 Litros Negro</t>
  </si>
  <si>
    <t>Basurero a Pedal de 7 Litros Blanco</t>
  </si>
  <si>
    <t>2207/20</t>
  </si>
  <si>
    <t>Basurero a Pedal de 7 Litros Negro</t>
  </si>
  <si>
    <t>Recipiente Residuos Vaivén 9 Litros</t>
  </si>
  <si>
    <t>Recipiente Pedal c/Tapa 6,6 lts. Negro</t>
  </si>
  <si>
    <t>274/1</t>
  </si>
  <si>
    <t xml:space="preserve"> Recipiente Pedal c/Tapa 6,6 lts.Blanco            </t>
  </si>
  <si>
    <t xml:space="preserve">Recipiente Pedal 13,5lts.     </t>
  </si>
  <si>
    <t>275/1</t>
  </si>
  <si>
    <t>Recipiente Pedal Blanco</t>
  </si>
  <si>
    <t>275/20</t>
  </si>
  <si>
    <t>Recipiente Pedal Negro</t>
  </si>
  <si>
    <t xml:space="preserve">Recipiente Rectangular a Pedal 36 lts.                           </t>
  </si>
  <si>
    <t xml:space="preserve">Recipiente Rectangular a Pedal 72 lts.                           </t>
  </si>
  <si>
    <t xml:space="preserve">Recip. Residuos c/Tapa Vaivén 6,5 lts. </t>
  </si>
  <si>
    <t>278/20</t>
  </si>
  <si>
    <t>Recip. c/Tapa Vaivén 6,5 lts. Negro</t>
  </si>
  <si>
    <t xml:space="preserve">Recip. Residuos c/Tapa Vaivén 10 lts.  </t>
  </si>
  <si>
    <t>281/20</t>
  </si>
  <si>
    <t xml:space="preserve">  Recip. c/Tapa Vaivén 10 lts. Negro</t>
  </si>
  <si>
    <t xml:space="preserve">Recip. Residuos c/Tapa Vaivén 19  lts.   </t>
  </si>
  <si>
    <t>279/20</t>
  </si>
  <si>
    <t>Recip. c/Tapa Vaivén 19  lts. Negro</t>
  </si>
  <si>
    <t xml:space="preserve">Recip. Residuos c/Tapa Vaivén 30 lts.    </t>
  </si>
  <si>
    <t>283/20</t>
  </si>
  <si>
    <t>Recip. c/Tapa Vaivén 30 lts. Negro</t>
  </si>
  <si>
    <t xml:space="preserve">Recip. Residuos c/Tapa Vaivén 59 lts.       </t>
  </si>
  <si>
    <t>Recip. Residuos c/Tapa Vaivén 105 lts.</t>
  </si>
  <si>
    <t>Recipiente Residuos Red. c/Tapa 9 lts.</t>
  </si>
  <si>
    <t>Recipiente Residuos Red. c/Tapa 17 lts</t>
  </si>
  <si>
    <t>Recipiente Residuos Red. c/Tapa 42 lts</t>
  </si>
  <si>
    <t>Recipiente Residuos Red. c/Tapa 70 lts</t>
  </si>
  <si>
    <t>Recipiente Residuos Red. c/Tapa 103lts</t>
  </si>
  <si>
    <t>Recipiente Residuos Red. c/Tapa 140lts</t>
  </si>
  <si>
    <t xml:space="preserve">Basurero Con Pedal 50 Litros       </t>
  </si>
  <si>
    <t>54/1</t>
  </si>
  <si>
    <t>Basurero Con Pedal 50 Litros Blanco</t>
  </si>
  <si>
    <t xml:space="preserve">Basurero Tapa Vaivén 15 Litros   </t>
  </si>
  <si>
    <t>Basurero Tapa Vaivén 40 Litros Negro</t>
  </si>
  <si>
    <t>64/21</t>
  </si>
  <si>
    <t>Basurero Tapa Vaivén 40 Litros  Azul</t>
  </si>
  <si>
    <t>64/22</t>
  </si>
  <si>
    <t>Basurero Tapa Vaivén 40 Litros  Rojo</t>
  </si>
  <si>
    <t>64/23</t>
  </si>
  <si>
    <t>Basurero Tapa Vaivén 40 Litros  Amarillo</t>
  </si>
  <si>
    <t>64/24</t>
  </si>
  <si>
    <t>Basurero Tapa Vaivén 40 Litros  Verde</t>
  </si>
  <si>
    <t>64/25</t>
  </si>
  <si>
    <t>Basurero Tapa Vaivén 40 Litros  Marrón</t>
  </si>
  <si>
    <t>Basurero Tapa Vaivén 70 Litros Negro</t>
  </si>
  <si>
    <t>1722/1</t>
  </si>
  <si>
    <t>Cesto Organizador Rectangular Rosa de 22 lts. (33X47X23cm)</t>
  </si>
  <si>
    <t>1722/2</t>
  </si>
  <si>
    <t>Cesto Organizador Rectangular Gris de 22 lts. (33X47X23cm)</t>
  </si>
  <si>
    <t>1803/1</t>
  </si>
  <si>
    <t>Cesto Organizador Redondo Rosa de 3 lts. (23X21X18cm)</t>
  </si>
  <si>
    <t>1803/2</t>
  </si>
  <si>
    <t>Cesto Organizador Redondo Gris       de 3 lts. (23X21X18cm)</t>
  </si>
  <si>
    <t>1820/1</t>
  </si>
  <si>
    <t>Cesto Organizador Redondo Rosa de 20 lts. (46X43X33cm)</t>
  </si>
  <si>
    <t>1820/2</t>
  </si>
  <si>
    <t>Cesto Organizador Redondo Gris       de 20 lts. (46X43X33cm)</t>
  </si>
  <si>
    <t>1830/1</t>
  </si>
  <si>
    <t>Cesto Organizador Redondo Rosa de 30 lts. (46X50X31cm)</t>
  </si>
  <si>
    <t>1830/2</t>
  </si>
  <si>
    <t>Cesto Organizador Redondo Gris       de 30 lts. (46X50X31cm)</t>
  </si>
  <si>
    <t>1844/1</t>
  </si>
  <si>
    <t>Canasto de Ropa Rosa de 44lts. (41X45X56cm)</t>
  </si>
  <si>
    <t>1844/2</t>
  </si>
  <si>
    <t>Canasto de Ropa Gris de 44lts. (41X45X56cm)</t>
  </si>
  <si>
    <t>1918/1</t>
  </si>
  <si>
    <t>Canasto Organizador Cuadrado Rosa de 18lts. (29X34X35cm)</t>
  </si>
  <si>
    <t>1918/2</t>
  </si>
  <si>
    <t>Canasto Organizador Cuadrado Gris de 18lts. (29X34X35cm)</t>
  </si>
  <si>
    <t>1922/1</t>
  </si>
  <si>
    <t>Canasto Organizador Cuadrado Rosa de 22lts. (36X41X28cm)</t>
  </si>
  <si>
    <t>1922/2</t>
  </si>
  <si>
    <t>Canasto Organizador Cuadrado Gris de 22lts. (36X41X28cm)</t>
  </si>
  <si>
    <t>Canasta Apilable 0,75 Litros</t>
  </si>
  <si>
    <t>886/3</t>
  </si>
  <si>
    <t>Canasta Apilable 0,75 Litros Color</t>
  </si>
  <si>
    <t>Canasta Apilable 1,6 Litros</t>
  </si>
  <si>
    <t>884/3</t>
  </si>
  <si>
    <t>Canasta Apilable 1,6 Litros Color</t>
  </si>
  <si>
    <t>Canasta Apilable 3,3 Litros</t>
  </si>
  <si>
    <t>882/3</t>
  </si>
  <si>
    <t>Canasta Apilable 3,3 Litros Color</t>
  </si>
  <si>
    <t>Canasta Apilable 6,3 Litros</t>
  </si>
  <si>
    <t>880/3</t>
  </si>
  <si>
    <t>Canasta Apilable 6,3 Litros Color</t>
  </si>
  <si>
    <t>887/3</t>
  </si>
  <si>
    <t xml:space="preserve">Canasta de Compras 22 Itros </t>
  </si>
  <si>
    <t>Cucharón Sopa</t>
  </si>
  <si>
    <t>Espumadera</t>
  </si>
  <si>
    <t>Cuchara</t>
  </si>
  <si>
    <t>Espátula Cuadrada</t>
  </si>
  <si>
    <t>Pinza Para Servir Fideos</t>
  </si>
  <si>
    <t>Cucharón Panqueques</t>
  </si>
  <si>
    <t xml:space="preserve">Escurridor de Cubiertos Blanco  </t>
  </si>
  <si>
    <t>308/3</t>
  </si>
  <si>
    <t xml:space="preserve">Escurridor Rojo   </t>
  </si>
  <si>
    <t xml:space="preserve">Set x 3 Compoteras 11cm. 0,240 lts.     </t>
  </si>
  <si>
    <t xml:space="preserve">Bols Cerealero 15cm. 0,68 lts.                  </t>
  </si>
  <si>
    <t>312/3</t>
  </si>
  <si>
    <t xml:space="preserve">Bols Cerealero 15cm. 0,68 lts.       </t>
  </si>
  <si>
    <t xml:space="preserve">Ensaladera Ø19cm.X7,7cm.     </t>
  </si>
  <si>
    <t>313/3</t>
  </si>
  <si>
    <t xml:space="preserve">Ensaladera Ø19cm.X7,7cm.                   </t>
  </si>
  <si>
    <t xml:space="preserve">Ensaladera Ø23cm.X9,5cm.       </t>
  </si>
  <si>
    <t>314/3</t>
  </si>
  <si>
    <t xml:space="preserve">Ensaladera Ø23cm.X9,5cm.                         </t>
  </si>
  <si>
    <t xml:space="preserve">Ensaladera Ø28cm.X12cm.                             </t>
  </si>
  <si>
    <t>315/3</t>
  </si>
  <si>
    <t>Tabla de Corte 27X18X0,5cm.</t>
  </si>
  <si>
    <t>Tabla de Corte 36X24X0,7cm.</t>
  </si>
  <si>
    <t xml:space="preserve">Tabla de Corte 43X27X0,8 cm.   </t>
  </si>
  <si>
    <t>Colador Con Mango 7,5cm.</t>
  </si>
  <si>
    <t>Colador Con Mango 11cm.</t>
  </si>
  <si>
    <t>Colador Con Mango 15cm.</t>
  </si>
  <si>
    <t>Colador Con Mango 19cm.</t>
  </si>
  <si>
    <t>Mostacero</t>
  </si>
  <si>
    <t>Molde Para Hacer Helados</t>
  </si>
  <si>
    <t xml:space="preserve">Campana Tortas Redonda 35cm.X13cm. </t>
  </si>
  <si>
    <t xml:space="preserve">Molde Porta Pan Lactal    </t>
  </si>
  <si>
    <t xml:space="preserve">Bandeja Rectangular 46X32cm.             </t>
  </si>
  <si>
    <t>Bandejas P/ Alimentos Blancas 28X19X6</t>
  </si>
  <si>
    <t>Bandejas P/ Alimentos Blancas 44X28X8</t>
  </si>
  <si>
    <t>Bandejas P/ Alimentos Blancas 58X38X9</t>
  </si>
  <si>
    <t xml:space="preserve">Cubiertero Gde Con Tapa 35X31X5,5cm.  </t>
  </si>
  <si>
    <t>345/3</t>
  </si>
  <si>
    <t xml:space="preserve">Cubiertero </t>
  </si>
  <si>
    <t xml:space="preserve">Cubiertero Gde Sin Tapa 34X31X5,5cm. </t>
  </si>
  <si>
    <t>346/3</t>
  </si>
  <si>
    <t>Cubiertero</t>
  </si>
  <si>
    <t xml:space="preserve">Colador Con Mango 25cm.                   </t>
  </si>
  <si>
    <t>349/3</t>
  </si>
  <si>
    <t>Colador</t>
  </si>
  <si>
    <t xml:space="preserve">Colador/Escurridor 24X9cm.         </t>
  </si>
  <si>
    <t>350/3</t>
  </si>
  <si>
    <t xml:space="preserve">Colador </t>
  </si>
  <si>
    <t xml:space="preserve">Cubetera Para Hielo en Palitos     </t>
  </si>
  <si>
    <t>347/3</t>
  </si>
  <si>
    <t>Cubetera</t>
  </si>
  <si>
    <t xml:space="preserve">Cubetera 26X11X3,2cm.                         </t>
  </si>
  <si>
    <t>348/3</t>
  </si>
  <si>
    <t xml:space="preserve">Cubetera </t>
  </si>
  <si>
    <t xml:space="preserve">Cubetera 16 Hielos                    </t>
  </si>
  <si>
    <t>351/3</t>
  </si>
  <si>
    <t>Cubetera Flexible 27X12X4cm</t>
  </si>
  <si>
    <t xml:space="preserve">Colador de Pastas 24X11cm.         </t>
  </si>
  <si>
    <t>352/3</t>
  </si>
  <si>
    <t xml:space="preserve">Escurridor de Platos                            </t>
  </si>
  <si>
    <t>353/3</t>
  </si>
  <si>
    <t xml:space="preserve">Escurridor </t>
  </si>
  <si>
    <t xml:space="preserve">Escurridor de Platos Sin Bandeja         </t>
  </si>
  <si>
    <t>354/3</t>
  </si>
  <si>
    <t>354C</t>
  </si>
  <si>
    <t>Escurridor de Platos  46X32X10cm. Con Bandeja</t>
  </si>
  <si>
    <t xml:space="preserve">Cubiertero Mediano c/Tapa 35X24X5,5cm.   </t>
  </si>
  <si>
    <t>355/3</t>
  </si>
  <si>
    <t xml:space="preserve">Cubiertero Mediano Sin Tapa 34X23X5cm.   </t>
  </si>
  <si>
    <t>356/6</t>
  </si>
  <si>
    <t>Basurero Para Pileta 2,4 Litros</t>
  </si>
  <si>
    <t>Jabonera Con Tapa</t>
  </si>
  <si>
    <t xml:space="preserve">Porta Jabon, Esponja y Detergente   </t>
  </si>
  <si>
    <t xml:space="preserve">Bandeja Fast Food 49X34           </t>
  </si>
  <si>
    <t xml:space="preserve">Secador de Pileta 14cm.         </t>
  </si>
  <si>
    <t>590/3</t>
  </si>
  <si>
    <t xml:space="preserve">Secador </t>
  </si>
  <si>
    <t xml:space="preserve">Secador de Pileta 22cm.                      </t>
  </si>
  <si>
    <t>591/3</t>
  </si>
  <si>
    <t>Portarrollo de Cocina</t>
  </si>
  <si>
    <t xml:space="preserve">Tapa Para Microondas 27X7cm.  </t>
  </si>
  <si>
    <t>Servilletero</t>
  </si>
  <si>
    <t>Azucarera 350ml</t>
  </si>
  <si>
    <t>Porta Sorbetes</t>
  </si>
  <si>
    <t xml:space="preserve">Botella  Con Pico 0.250 Litros </t>
  </si>
  <si>
    <t xml:space="preserve">Botella  Con Pico 0.500 Litros </t>
  </si>
  <si>
    <t>Botella Infantil Con Pico 0,300 Lt. Gato</t>
  </si>
  <si>
    <t>Botella Infantil Con Pico 0,300 Lt. Vaca</t>
  </si>
  <si>
    <t xml:space="preserve">Botella Con Pico 0.500 lts. Redonda </t>
  </si>
  <si>
    <t xml:space="preserve">Botella Con Pico 0.750 lts. Redonda </t>
  </si>
  <si>
    <t>756/30</t>
  </si>
  <si>
    <t>Botella Con Válvula 0.500 lts. Sport</t>
  </si>
  <si>
    <t>757/30</t>
  </si>
  <si>
    <t>Botella Con Válvula 0.750 lts. Sport</t>
  </si>
  <si>
    <t xml:space="preserve">Botella Con Tapa  1.0 lts. Redonda </t>
  </si>
  <si>
    <t xml:space="preserve">Botella Con Tapa  1.5 lts. Redonda </t>
  </si>
  <si>
    <t>Botella Con Tapa  1.75 lts. Oval</t>
  </si>
  <si>
    <t xml:space="preserve">Botella Con Tapa  2.50 lts. Oval </t>
  </si>
  <si>
    <t>Botella Con Tapa  3.50 lts. Oval</t>
  </si>
  <si>
    <t>SR91/1</t>
  </si>
  <si>
    <t>Botella Deportiva Abre Facil  500ml Rosa</t>
  </si>
  <si>
    <t>SR91/2</t>
  </si>
  <si>
    <t>Botella Deportiva Abre Facil  500ml Azul</t>
  </si>
  <si>
    <t>SR91/3</t>
  </si>
  <si>
    <t>Botella Deportiva Abre Facil  500ml Gris Oscuro</t>
  </si>
  <si>
    <t>SR96/1</t>
  </si>
  <si>
    <t>Botella Deportiva c/Válvula 500ml Rosa</t>
  </si>
  <si>
    <t>SR96/2</t>
  </si>
  <si>
    <t>Botella Deportiva c/Válvula 500ml Azul</t>
  </si>
  <si>
    <t>SR96/3</t>
  </si>
  <si>
    <t>Botella Deportiva c/Válvula 500ml Gris Oscuro</t>
  </si>
  <si>
    <t>9103-10</t>
  </si>
  <si>
    <t>Percha Para Adultos Packx10</t>
  </si>
  <si>
    <t>9103-6</t>
  </si>
  <si>
    <t>Percha Para Adultos Packx6</t>
  </si>
  <si>
    <t>9107/310</t>
  </si>
  <si>
    <t>Percha Infantil Packx3 Celeste</t>
  </si>
  <si>
    <t>9107/3-9</t>
  </si>
  <si>
    <t>Percha Infantil Packx3 Rosa</t>
  </si>
  <si>
    <t>9110P/22</t>
  </si>
  <si>
    <t>Percha c/Presillas Packx2 Bca</t>
  </si>
  <si>
    <t>9110P/28</t>
  </si>
  <si>
    <t>Percha c/Presillas Packx2 Neg</t>
  </si>
  <si>
    <t>9105/616</t>
  </si>
  <si>
    <t>Percha Con Gancho Packx6 Gris</t>
  </si>
  <si>
    <t>9105/617</t>
  </si>
  <si>
    <t>Percha Con Gancho Packx6 Azul</t>
  </si>
  <si>
    <t>106/1-2</t>
  </si>
  <si>
    <t>Percha Adultos Pack X3 Blanca</t>
  </si>
  <si>
    <t>602/7</t>
  </si>
  <si>
    <t>Palangana Mediana5,000 lts. Color</t>
  </si>
  <si>
    <t xml:space="preserve">Palangana Grande 7,200 Litros </t>
  </si>
  <si>
    <t>603/7</t>
  </si>
  <si>
    <t>Palangana Grande 7,200 lts. Color</t>
  </si>
  <si>
    <t>Palangana Super Grande 15,700 Litros</t>
  </si>
  <si>
    <t>604/7</t>
  </si>
  <si>
    <t>Palangana Super Grande 15,7 lts. Color</t>
  </si>
  <si>
    <t>Canasto Para Ropa 46,5 Litros</t>
  </si>
  <si>
    <t>607/7</t>
  </si>
  <si>
    <t>Canasto Para Ropa 46,5 Litros Color</t>
  </si>
  <si>
    <t>Canasto Para Ropa 30 Litros</t>
  </si>
  <si>
    <t>620/7</t>
  </si>
  <si>
    <t>Canasto Para Ropa 30 Litros Color</t>
  </si>
  <si>
    <t>Balde Chico 8,000 Litros</t>
  </si>
  <si>
    <t>610/7</t>
  </si>
  <si>
    <t>Balde Chico 8,000 Litros Color</t>
  </si>
  <si>
    <t>Balde Grande 15,000 Litros</t>
  </si>
  <si>
    <t>615/7</t>
  </si>
  <si>
    <t>Balde Grande 15,000 Litros Color</t>
  </si>
  <si>
    <t>Quita Pelusa Con 2 Repuestos</t>
  </si>
  <si>
    <t xml:space="preserve">Canasto Para Broches de Ropa  </t>
  </si>
  <si>
    <t>898/3</t>
  </si>
  <si>
    <t>Canasto Para Broches de Ropa Color</t>
  </si>
  <si>
    <t xml:space="preserve">Palangana Chica 9  lts. </t>
  </si>
  <si>
    <t>210/1</t>
  </si>
  <si>
    <t>Palangana Chica 9  lts.  Lila</t>
  </si>
  <si>
    <t xml:space="preserve">Palangana Mediana 14 lts. </t>
  </si>
  <si>
    <t>220/1</t>
  </si>
  <si>
    <t>Palangana Mediana 14 lts.  Lila</t>
  </si>
  <si>
    <t xml:space="preserve">Palangana Grande 27,5 lts. </t>
  </si>
  <si>
    <t>230/1</t>
  </si>
  <si>
    <t>Palangana Grande 27,5 lts.  Lila</t>
  </si>
  <si>
    <t>225/1</t>
  </si>
  <si>
    <t>Palangana Cuadrada 10 Litros  Lila</t>
  </si>
  <si>
    <t xml:space="preserve">Balde 20 Litros Con Ruedas </t>
  </si>
  <si>
    <t>234/1</t>
  </si>
  <si>
    <t>Balde 20 Litros Con Ruedas Lila</t>
  </si>
  <si>
    <t xml:space="preserve">Balde Oval 14 Litros                  </t>
  </si>
  <si>
    <t>237/1</t>
  </si>
  <si>
    <t>Balde Oval 14 Litros Lila</t>
  </si>
  <si>
    <t xml:space="preserve">Porta Arts. Limpieza P/ Balde Oval 237 </t>
  </si>
  <si>
    <t>238/1</t>
  </si>
  <si>
    <t xml:space="preserve">Balde Chico 8,5 lts.  </t>
  </si>
  <si>
    <t>240/1</t>
  </si>
  <si>
    <t>Balde Chico 8,5 lts.  Lila</t>
  </si>
  <si>
    <t>Balde Mediano 12 lts.</t>
  </si>
  <si>
    <t>245/1</t>
  </si>
  <si>
    <t>Balde Mediano 12 lts. Lila</t>
  </si>
  <si>
    <t xml:space="preserve">Balde Grande 15 lts. </t>
  </si>
  <si>
    <t>250/1</t>
  </si>
  <si>
    <t>Balde Grande 15 lts. Lila</t>
  </si>
  <si>
    <t>Canasto Para Ropa  32 Litros 65X42X24</t>
  </si>
  <si>
    <t>260/1</t>
  </si>
  <si>
    <t>Canasto Para Ropa  32 Litros Lila</t>
  </si>
  <si>
    <t>Porta Jabón en Polvo 2 Kg.</t>
  </si>
  <si>
    <t xml:space="preserve">Porta Jabón en Polvo 1 Kg. Con Dosificador  </t>
  </si>
  <si>
    <t xml:space="preserve">Porta Jabón en Polvo 1 Kg.  </t>
  </si>
  <si>
    <t>641/70</t>
  </si>
  <si>
    <t>Tazón Para Gatos 200ml Azul</t>
  </si>
  <si>
    <t>641/71</t>
  </si>
  <si>
    <t>Tazón Para Gatos 200ml Rosa</t>
  </si>
  <si>
    <t>642/70</t>
  </si>
  <si>
    <t>Tazón Para Perros 300ml Azul</t>
  </si>
  <si>
    <t>642/71</t>
  </si>
  <si>
    <t>Tazón Para Perros 300ml Rosa</t>
  </si>
  <si>
    <t>643/70</t>
  </si>
  <si>
    <t>Tazón Para Perros 650ml Azul</t>
  </si>
  <si>
    <t>643/71</t>
  </si>
  <si>
    <t>Tazón Para Perros 650ml Rosa</t>
  </si>
  <si>
    <t>644/70</t>
  </si>
  <si>
    <t>Tazón Para Perros 1,8lts. Azul</t>
  </si>
  <si>
    <t>644/71</t>
  </si>
  <si>
    <t>Tazón Para Perros 1,8lts. Rosa</t>
  </si>
  <si>
    <t>651/70</t>
  </si>
  <si>
    <t>Bebedero Automático Para Perros 250ml Azul</t>
  </si>
  <si>
    <t>651/71</t>
  </si>
  <si>
    <t>Bebedero Automático Para Perros 250ml Rosa</t>
  </si>
  <si>
    <t>652/70</t>
  </si>
  <si>
    <t>Bebedero Automático Para Gato 250ml Azul</t>
  </si>
  <si>
    <t>652/71</t>
  </si>
  <si>
    <t>Bebedero Automático Para Gato 250ml Rosa</t>
  </si>
  <si>
    <t>653/70</t>
  </si>
  <si>
    <t>Bebedero Portátil Azul</t>
  </si>
  <si>
    <t>653/71</t>
  </si>
  <si>
    <t>Bebedero Portátil Rosa</t>
  </si>
  <si>
    <t>658/70</t>
  </si>
  <si>
    <t>Manteles Individuales Para Perros y Gatos de 54X31X1,5cm Azul</t>
  </si>
  <si>
    <t>658/71</t>
  </si>
  <si>
    <t>Manteles Individuales Para Perros y Gatos de 54X31X1,5cm Rosa</t>
  </si>
  <si>
    <t>659/70</t>
  </si>
  <si>
    <t>Porta Bolsa Azul</t>
  </si>
  <si>
    <t>659/71</t>
  </si>
  <si>
    <t>Porta Bolsa Rosa</t>
  </si>
  <si>
    <t>640/70</t>
  </si>
  <si>
    <t>Juego Para Alimentos y Snacks Azul</t>
  </si>
  <si>
    <t>640/71</t>
  </si>
  <si>
    <t>Juego Para Alimentos y Snacks Rosa</t>
  </si>
  <si>
    <t>661/70</t>
  </si>
  <si>
    <t>Caja de Arena Para Gato de 53X35X16 Azul</t>
  </si>
  <si>
    <t>661/71</t>
  </si>
  <si>
    <t>Caja de Arena Para Gato de 53X35X16 Rosa</t>
  </si>
  <si>
    <t>662/70</t>
  </si>
  <si>
    <t>Pala Para Caja de Arena de Gato Azul</t>
  </si>
  <si>
    <t>662/71</t>
  </si>
  <si>
    <t>Pala Para Caja de Arena de Gato Rosa</t>
  </si>
  <si>
    <t>Alfombra Higiénica 34X43cm.</t>
  </si>
  <si>
    <t>Alfombra Higiénica 60X80cm.</t>
  </si>
  <si>
    <t>Quita Pelusas</t>
  </si>
  <si>
    <t>Repuesto Quita Pelusas</t>
  </si>
  <si>
    <t>342/70</t>
  </si>
  <si>
    <t>Caja de Arena Para Gato  6,4L Azul</t>
  </si>
  <si>
    <t>342/71</t>
  </si>
  <si>
    <t>Caja de Arena Para Gato  6,4L Rosa</t>
  </si>
  <si>
    <t>807/70</t>
  </si>
  <si>
    <t>Medidor de Alimentación Para Mascotas Azul</t>
  </si>
  <si>
    <t>807/71</t>
  </si>
  <si>
    <t>Medidor de Alimentación Para Mascotas Rosa</t>
  </si>
  <si>
    <t>911/74</t>
  </si>
  <si>
    <t xml:space="preserve">Caja Organizadora 11 lts. Gatos    </t>
  </si>
  <si>
    <t>911/75</t>
  </si>
  <si>
    <t xml:space="preserve"> Caja Organizador 11 lts. Perros</t>
  </si>
  <si>
    <t>971/74</t>
  </si>
  <si>
    <t xml:space="preserve">Caja Organizadora 68 lts. Gatos  </t>
  </si>
  <si>
    <t>971/75</t>
  </si>
  <si>
    <t xml:space="preserve"> Caja Organizador 68 lts. Perros</t>
  </si>
  <si>
    <t xml:space="preserve">Jarro 14cm.      </t>
  </si>
  <si>
    <t>Cazo 14cm. Con Mango</t>
  </si>
  <si>
    <t>Cacerola 16cm. Con Asas y Tapa</t>
  </si>
  <si>
    <t>Cacerola 20cm. Con Asas y Tapa</t>
  </si>
  <si>
    <t>Cacerola 24cm. Con Asas y Tapa</t>
  </si>
  <si>
    <t>Olla 24cm. Con Asas y Tapa</t>
  </si>
  <si>
    <t>Sartenes 18cm.</t>
  </si>
  <si>
    <t>Sartenes 20cm.</t>
  </si>
  <si>
    <t>Sartenes 22cm.</t>
  </si>
  <si>
    <t>Sartenes 24cm.</t>
  </si>
  <si>
    <t xml:space="preserve">Sartenes 26cm. </t>
  </si>
  <si>
    <t xml:space="preserve">Sartenes 28cm. </t>
  </si>
  <si>
    <t>Sartén Doble 24cm</t>
  </si>
  <si>
    <t>Wok 28cm  c/Tapa de Vidrio</t>
  </si>
  <si>
    <t>Sartén 20cm J. Sanchez</t>
  </si>
  <si>
    <t>Sartén 24cm  J. Sanchez</t>
  </si>
  <si>
    <t>Sartén 28cm  J. Sanchez</t>
  </si>
  <si>
    <t>Olla 20cm  J. Sanchez</t>
  </si>
  <si>
    <t>Cacerola 24cm  J. Sanchez</t>
  </si>
  <si>
    <t>Cazo 16cm  J. Sanchez</t>
  </si>
  <si>
    <t>Set de 3 Cuchillos (Chef, Multiuso y Pelador)</t>
  </si>
  <si>
    <t>Sartén Mamba 20</t>
  </si>
  <si>
    <t>Sartén Mamba 24</t>
  </si>
  <si>
    <t>Sartén Mamba 26</t>
  </si>
  <si>
    <t>Sartén Mamba 28</t>
  </si>
  <si>
    <t>Bifera Cerisse Pierre</t>
  </si>
  <si>
    <t>Lasagnera 35cm. Cerisse Pierre</t>
  </si>
  <si>
    <t>Crepier 28cm. Cerisse Pierre</t>
  </si>
  <si>
    <t>Guisera 26cm. Con Tapa de Vidrio</t>
  </si>
  <si>
    <t>Pizza Pan Cerisse Pierre</t>
  </si>
  <si>
    <t>Dutch Oven Granate</t>
  </si>
  <si>
    <t>Dutch Oven Negro</t>
  </si>
  <si>
    <t>Asadera Cuadrada 20X17X6 (1 Litro) Borosilicato Con Antiadherente</t>
  </si>
  <si>
    <t>Asadera Rectangular 35X22X5 (2,6lts) Borosilicato Con Antiadherente</t>
  </si>
  <si>
    <t>Asadera Oval 35X24X6 (3lts.) Borosilicato Con Antiadherente</t>
  </si>
  <si>
    <t>Asadera Redonda 27cm. (1,3lts.) Borosilicato Con Antiadherente</t>
  </si>
  <si>
    <t>356/3</t>
  </si>
  <si>
    <t>Cubiertero mediano sin tapa 34x23x5cm gris</t>
  </si>
  <si>
    <t xml:space="preserve">Olla a Presión Diana 4 Litros Acero </t>
  </si>
  <si>
    <t xml:space="preserve">Olla a Presión Diana 6 Litros Acero </t>
  </si>
  <si>
    <t xml:space="preserve">Olla a Presión Diana 8 Litros Acero </t>
  </si>
  <si>
    <t>Olla a Presión Easyclick 6 Litros</t>
  </si>
  <si>
    <t>Olla a Presión Easyclick 8 Litros</t>
  </si>
  <si>
    <t>Dúo Olla a Presión Easyclick 4+6 Litros</t>
  </si>
  <si>
    <t>Olla a Presión Aluminio Avant 6 Litros Negra</t>
  </si>
  <si>
    <t>Olla a Presión Aluminio Avant 6 Litros Roja</t>
  </si>
  <si>
    <t>Batería Deliss 7 Piezas (Ollas 18 y 24, Cac.16 y Sartén 24)</t>
  </si>
  <si>
    <t>Olla Alta Royal de Acero Inoxidable 20cm. 5,0 lts.</t>
  </si>
  <si>
    <t>CORD12</t>
  </si>
  <si>
    <t>Juego de Cubiertos Córdoba 12 Piezas</t>
  </si>
  <si>
    <t>Batería Vesta 10 Piezas</t>
  </si>
  <si>
    <t>Batería Coral Rojo 7 Piezas</t>
  </si>
  <si>
    <t>Batería Style 4 Piezas - Para Inducción</t>
  </si>
  <si>
    <t>Batería Ecotherm 12 Piezas - Especial Dietética Con Termómetro</t>
  </si>
  <si>
    <t>GRA24</t>
  </si>
  <si>
    <t>Juego de Cubiertos Malta 24 Piezas</t>
  </si>
  <si>
    <t>BIL113</t>
  </si>
  <si>
    <t>Juego de Cubiertos Malta Bilbao 113 Piezas</t>
  </si>
  <si>
    <t>Olla Bombé Con Aro 22 (4,6 Litros, Altura 13cm)</t>
  </si>
  <si>
    <t>Olla Bombé Con Aro 24 (6 Litros, Altura 15cm)</t>
  </si>
  <si>
    <t>Olla Bombé Con Aro  26 (8 Litros, Altura 17cm)</t>
  </si>
  <si>
    <t>Soporte Papel Higiénico</t>
  </si>
  <si>
    <t>Jabonera de Apoyo</t>
  </si>
  <si>
    <t>Jabonera de Pared</t>
  </si>
  <si>
    <t>Soporte Para Toalla</t>
  </si>
  <si>
    <t>Porta Toalla Aro</t>
  </si>
  <si>
    <t>Gancho Fijo</t>
  </si>
  <si>
    <t>Porta Cepillo de Dientes Con Vaso</t>
  </si>
  <si>
    <t>Repisa 62X17X5,6cm.</t>
  </si>
  <si>
    <t>1021-2</t>
  </si>
  <si>
    <t>Kit Para Baño 5 Piezas</t>
  </si>
  <si>
    <t>1061-8</t>
  </si>
  <si>
    <t>Asiento Para Inodoros Negro</t>
  </si>
  <si>
    <t>Soporte Para Toalla Articulado Bari</t>
  </si>
  <si>
    <t>Repisa 53X15X4cm. Bari</t>
  </si>
  <si>
    <t>Espejo Redondo Con Moldura 54cm.</t>
  </si>
  <si>
    <t>Espejo Rectang. Con Moldura 54X45X3cm.</t>
  </si>
  <si>
    <t>Espejo Oval Con Moldura 56X44,5X2cm.</t>
  </si>
  <si>
    <t>Repisa de Rincón Con Esponja de Regalo</t>
  </si>
  <si>
    <t xml:space="preserve">Repisa de Rincón Oval Con Esponja </t>
  </si>
  <si>
    <t>501-1</t>
  </si>
  <si>
    <t>Colgador de Pared 3 Ganchos</t>
  </si>
  <si>
    <t>502-2</t>
  </si>
  <si>
    <t>Colgador de Pared 1 Gancho</t>
  </si>
  <si>
    <t>Alfombra de Goma Negra 120X50cm</t>
  </si>
  <si>
    <t>Gancho c/Ventosa 0.5Kgs x 4 Unidades</t>
  </si>
  <si>
    <t>Gancho c/Ventosa 0.75Kgs x 2 Unidades</t>
  </si>
  <si>
    <t>Escoba Recta Novica Max (Varremax) - Sin Cabo</t>
  </si>
  <si>
    <t>Escoba "Noviça" - Sin Cabo</t>
  </si>
  <si>
    <t>120E</t>
  </si>
  <si>
    <t>Pala y Escobilla Con Mango</t>
  </si>
  <si>
    <t>Set 3 Herméticos Redondos Tapa Bambú                                                                                                            400ml /10,5X4,8cm
620ml /15X6,7cm
950ml /18X7cm</t>
  </si>
  <si>
    <t>Set 3 Herméticos Cuadrados Tapa Bambú                                                                                                            320ml /11X5cm
500ml /13X6cm
800ml /15X6cm</t>
  </si>
  <si>
    <t>Set 3 Herméticos Rectang.Tapa Bambú                                                                                                      370ml /14,5X10,4X5,5cm
640ml /16,95X12,35X6cm
1040ml /19,8X14,8X6,6cm</t>
  </si>
  <si>
    <t>Set 3 Fuentes Ovales de Vidrio Sin Tapa                                                                                                                                            0,7L / 20,7X13,7X4,7cm
1,6L / 25,8X17,9X6cm
2,4L / 30,3X21,3X6,5cm</t>
  </si>
  <si>
    <t xml:space="preserve">Fuente Oval Con Tapa 1,8lts - 27,3 x 18,8 x 11,5cm 
                                                                                                                 </t>
  </si>
  <si>
    <t xml:space="preserve">Fuente Oval Con Tapa 2,8lts - 31 x 21,5 x 13cm                                                                                                                 </t>
  </si>
  <si>
    <t>Set 3 Herméticos Redondos Tapa Plástico                                                                                                            400ml /10,5X4,8cm
620ml /15X6,7cm
950ml /18X7cm</t>
  </si>
  <si>
    <t>Set 3 Herméticos Cuadrados Tapa Plástico                                                                                                            320ml /11X11X5cm
500ml /13X13X6cm
800ml /15X15X6cm</t>
  </si>
  <si>
    <t>Set 3 Herméticos Rectang. Tapa Plástico                                                                                                      370ml /14,5X10,4X5,5cm
640ml /16,95X12,35X6cm
1040ml /19,8X14,8X6,6cm</t>
  </si>
  <si>
    <t>Set 3 Herm. Redondos Tapa Plástico c/División                                                                                                            420ml /13X5,3cm
620ml /14,9X6,2cm
950ml /17X6,8cm 2 Divisiones</t>
  </si>
  <si>
    <t>25040A</t>
  </si>
  <si>
    <t>Set 3 Herméticos Redondos Tapa Plástico c/División                                                                                                            420ml /13X5,3cm
620ml /14,9X6,2cm
950ml /17X6,8cm 3 Divisiones</t>
  </si>
  <si>
    <t>250510A</t>
  </si>
  <si>
    <t>Set 3 Herméticos Rectangulares Tapa Plástico c/División                                                                                                            370ml /14,5X10,4X5,5cm
640ml /16,95X12,35X6cm
1520ml /22X16,5X6,8cm 2 Divisiones</t>
  </si>
  <si>
    <t>250401-2</t>
  </si>
  <si>
    <t>Set 3 Herméticos Cuadrados Tapa Plástico c/División                                                                                                      320ml /11,2X5cm
500ml /13X5,6cm
1200ml /17,5X6,8cm 2 Divisiones</t>
  </si>
  <si>
    <t>250509A</t>
  </si>
  <si>
    <t>Set 3 Herméticos Rectangulares Tapa Plástico c/División                                                                                                            370ml /14,5X10,4X5,5cm
640ml /16,95X12,35X6cm 2 Divisiones
1040ml /19,8X14,8X6,6cm 3 Divisiones</t>
  </si>
  <si>
    <t>S2580</t>
  </si>
  <si>
    <t xml:space="preserve">Set 3 Herméticos Cuadrados Acero Inox Tapa Plástico                                                                                                            400ml /12,5X6cm
750ml /15,3X6,3cm 
1200ml /18,3X6,8cm </t>
  </si>
  <si>
    <t>1741/33c</t>
  </si>
  <si>
    <t>Pack X2 Freshy Sólido</t>
  </si>
  <si>
    <t>1751/3c</t>
  </si>
  <si>
    <t>Pack X3 Freshy</t>
  </si>
  <si>
    <t>Organizador 2.5 Litros Transparente</t>
  </si>
  <si>
    <t>2502/1</t>
  </si>
  <si>
    <t>Organizador 2.5 Litros Sólido</t>
  </si>
  <si>
    <t>Organizador 5 Litros Transparente</t>
  </si>
  <si>
    <t>2505/1</t>
  </si>
  <si>
    <t>Organizador 5 Litros Sólido</t>
  </si>
  <si>
    <t>Organizador 8 Litros Transparente</t>
  </si>
  <si>
    <t>2508/1</t>
  </si>
  <si>
    <t>Organizador 8 Litros Sólido</t>
  </si>
  <si>
    <t>Organizador 11 Litros Transparente</t>
  </si>
  <si>
    <t>2511/1</t>
  </si>
  <si>
    <t>Organizador 11 Litros Sólido</t>
  </si>
  <si>
    <t>Organizador 20 Litros Transparente</t>
  </si>
  <si>
    <t>2520/1</t>
  </si>
  <si>
    <t>Organizador 20 Litros Sólido</t>
  </si>
  <si>
    <t>SR10/38</t>
  </si>
  <si>
    <t>Feria Promocional 176U 170/10 X60, 130/10 X62, 190/10 X54</t>
  </si>
  <si>
    <t>SR10/39</t>
  </si>
  <si>
    <t>Feria Promocional 176 Unidades 170/6 X55, 130/6 X67, 190/6 X54</t>
  </si>
  <si>
    <t>SR10/43</t>
  </si>
  <si>
    <t>Feria Promocional 166U 165/6 X72, 125/6 X42, 185/6 X52</t>
  </si>
  <si>
    <t>SR10/45</t>
  </si>
  <si>
    <t>Feria Promocional 166U 165/8 X72, 125/9 X42, 185/8X52</t>
  </si>
  <si>
    <t>122/4C55</t>
  </si>
  <si>
    <t>Feria Promocional 54U 122/4C</t>
  </si>
  <si>
    <t>125/3C55</t>
  </si>
  <si>
    <t>Feria Promocional 42U 125/3C</t>
  </si>
  <si>
    <t>165/7C55</t>
  </si>
  <si>
    <t>Feria Promocional 32U 165/7C</t>
  </si>
  <si>
    <t>160/4C55</t>
  </si>
  <si>
    <t>Feria Promocional 72U 160/4C</t>
  </si>
  <si>
    <t>328/555</t>
  </si>
  <si>
    <t>Feria Promocional 65U 328 Moldes de Helados</t>
  </si>
  <si>
    <t>788/222</t>
  </si>
  <si>
    <t>Feria Promocional 110U 788/2 Jarra de Plástico</t>
  </si>
  <si>
    <t>1260/551</t>
  </si>
  <si>
    <t>Feria Promocional 57U 1260 Hielera Flexible</t>
  </si>
  <si>
    <t>9105/5CD</t>
  </si>
  <si>
    <t>Feria Promocional 104U 9105/5 Percha Lleve 6 Pague 5</t>
  </si>
  <si>
    <t>9105-6CD</t>
  </si>
  <si>
    <t>Feria Promocional 88U 9105-6 Percha Lleve 6 Pague 5</t>
  </si>
  <si>
    <t>712/8C</t>
  </si>
  <si>
    <t>Juego de 8 Herméticos Flor Capuccino (280ml X4, 664ml X2, 920ml X1, 2,7L X1)</t>
  </si>
  <si>
    <t>1720/21C</t>
  </si>
  <si>
    <t>Juego de 8 Herméticos Freshy Rosa (330ml X2, 537ml X2, 820ml X2, 1,24L X2)</t>
  </si>
  <si>
    <t>Cliente:</t>
  </si>
  <si>
    <t>N° Cta.:</t>
  </si>
  <si>
    <t>Observaciones:</t>
  </si>
  <si>
    <t>Dirección:</t>
  </si>
  <si>
    <t>Fecha:</t>
  </si>
  <si>
    <t>Lista</t>
  </si>
  <si>
    <t>Número:</t>
  </si>
  <si>
    <t>Tpte:</t>
  </si>
  <si>
    <t>Total bultos</t>
  </si>
  <si>
    <t>Lista:</t>
  </si>
  <si>
    <t>Subtotal:</t>
  </si>
  <si>
    <t>NOTA DE PEDIDO</t>
  </si>
  <si>
    <t>Bonificación:</t>
  </si>
  <si>
    <t>E-mail: info@bmimport.com.ar</t>
  </si>
  <si>
    <t>Total:</t>
  </si>
  <si>
    <t>Código</t>
  </si>
  <si>
    <t>Cantidad</t>
  </si>
  <si>
    <t>Descripción</t>
  </si>
  <si>
    <t>Precio</t>
  </si>
  <si>
    <t>Total $</t>
  </si>
  <si>
    <t>.</t>
  </si>
  <si>
    <t>Dato Obligatorio</t>
  </si>
  <si>
    <t>Dato Opcional</t>
  </si>
  <si>
    <t>Código:</t>
  </si>
  <si>
    <t>Dato Condicional</t>
  </si>
  <si>
    <t>ARTICULO</t>
  </si>
  <si>
    <t>NOMBRE ARTICULO</t>
  </si>
  <si>
    <t>DEPOSITO</t>
  </si>
  <si>
    <t>UM</t>
  </si>
  <si>
    <t>CANTIDAD</t>
  </si>
  <si>
    <t>FECHA DE ENTREGA</t>
  </si>
  <si>
    <t>LISTA DE PRECIO</t>
  </si>
  <si>
    <t>DESCUENTO 1</t>
  </si>
  <si>
    <t>DESCUENTO 2</t>
  </si>
  <si>
    <t>DESCUENTO 3</t>
  </si>
  <si>
    <t>DESCUENTO 4</t>
  </si>
  <si>
    <t>DESCRIPCION</t>
  </si>
  <si>
    <t>CLASIFICACION DE PARTIDAS 1</t>
  </si>
  <si>
    <t>CLASIFICACION DE PARTIDAS 2</t>
  </si>
  <si>
    <t>CLASIFICACION DE PARTIDAS 3</t>
  </si>
  <si>
    <t>CLASIFICACION DE PARTIDAS 4</t>
  </si>
  <si>
    <t>CLASIFICACION DE PARTIDAS 5</t>
  </si>
  <si>
    <t>CLASIFICACION DE PARTIDAS 6</t>
  </si>
  <si>
    <t>CLASIFICACION DE PARTIDAS 7</t>
  </si>
  <si>
    <t>CLASIFICACION DE PARTIDAS 8</t>
  </si>
  <si>
    <t>UN</t>
  </si>
  <si>
    <t xml:space="preserve"> </t>
  </si>
  <si>
    <t>1753/21C</t>
  </si>
  <si>
    <t>Set X 2 Marmitas Freshy Rosa</t>
  </si>
  <si>
    <t>1753/33C</t>
  </si>
  <si>
    <t>Set X 2 Marmitas Freshy Verde</t>
  </si>
  <si>
    <t>1770/21C</t>
  </si>
  <si>
    <t>Caja de regalo 8 herméticos Freshy</t>
  </si>
  <si>
    <t>Hermético cuadrado grande de 3,7 Lts.</t>
  </si>
  <si>
    <t>Hermético para galletitas 0,45 Lts. (5,6x5,6x24,2Cm)</t>
  </si>
  <si>
    <t>Hermético para galletitas 0,20 Lts. (5,6x5,6x11,5Cm)</t>
  </si>
  <si>
    <t>788/555</t>
  </si>
  <si>
    <t>Caja promocional x 110 Jarras redondas facetadas 2,00 Lts.</t>
  </si>
  <si>
    <t>Caja de regalo x 8 pzs</t>
  </si>
  <si>
    <t>348/551</t>
  </si>
  <si>
    <t>Caja exhibidora de 107 piezas de 348</t>
  </si>
  <si>
    <t>SR91/4</t>
  </si>
  <si>
    <t>Botella Deportiva Abre Facil 500Ml Violeta</t>
  </si>
  <si>
    <t>Horarios de entrega / mail:</t>
  </si>
  <si>
    <t>Palangana Mediana5,000 lts.</t>
  </si>
  <si>
    <t>Redondo Chico Alto 480ml. Crema</t>
  </si>
  <si>
    <t>Redondo Mediano 1100ml. Crema</t>
  </si>
  <si>
    <t>Redondo Grande 3200ml. Crema</t>
  </si>
  <si>
    <t>Set x 3 Redondos (702+704+706) Crema</t>
  </si>
  <si>
    <t>Cuadrado Bajo Chico  280ml. Crema</t>
  </si>
  <si>
    <t>Cuadrado Bajo Mediano 920ml. Crema</t>
  </si>
  <si>
    <t>Cuadrado Bajo Gde 2700ml.  Crema</t>
  </si>
  <si>
    <t>Set X3 Cuadrados (707+709+712) Crema</t>
  </si>
  <si>
    <t>Cuadrado Alto Chico 450ml. Crema</t>
  </si>
  <si>
    <t>Cuadrado Alto Mediano 1600ml. Crema</t>
  </si>
  <si>
    <t>Rectangular Bajo Chico 430ml. Crema</t>
  </si>
  <si>
    <t>Rectangular Bajo Mediano 1260ml.Crema</t>
  </si>
  <si>
    <t>Rectangular Bajo Gde 2400ml.Crema</t>
  </si>
  <si>
    <t>Set X3 Rectang.(717+719+722)Crema</t>
  </si>
  <si>
    <t>Rectangular Alto Chico 700ml. Crema</t>
  </si>
  <si>
    <t>Rectangular Alto Mediano 2300ml. Crema</t>
  </si>
  <si>
    <t>Rectangular Alto Grande 4600ml Crema</t>
  </si>
  <si>
    <t>Set x 3 Rectang. (718+721+723) Crema</t>
  </si>
  <si>
    <t>Sandwichera  660ml. Crema</t>
  </si>
  <si>
    <t>Snack Box Tres Divisiones 1,5lts. Crema</t>
  </si>
  <si>
    <t>Redondo Chico Alto 480ml. Violeta</t>
  </si>
  <si>
    <t>Redondo Mediano 1100ml. Violeta</t>
  </si>
  <si>
    <t>Redondo Grande 3200ml. Violeta</t>
  </si>
  <si>
    <t>Set x 3 Redondos (702+704+706) Violeta</t>
  </si>
  <si>
    <t>Cuadrado Bajo Chico  280ml. Violeta</t>
  </si>
  <si>
    <t>Cuadrado Bajo Mediano 920ml. Violeta</t>
  </si>
  <si>
    <t>Cuadrado Bajo Gde 2700ml. Violeta</t>
  </si>
  <si>
    <t>Set X3 Cuadrados (707+709+712) Violeta</t>
  </si>
  <si>
    <t>Cuadrado Alto Chico 450ml. Violeta</t>
  </si>
  <si>
    <t>Cuadrado Alto Mediano 1600ml. Violeta</t>
  </si>
  <si>
    <t>Rectangular Bajo Chico 430ml. Violeta</t>
  </si>
  <si>
    <t>Rectangular Bajo Mediano 1260ml.Violeta</t>
  </si>
  <si>
    <t>Rectangular Bajo Gde 2400ml.Violeta</t>
  </si>
  <si>
    <t>Set X3  Rectang.(717+719+722)Violeta</t>
  </si>
  <si>
    <t>Rectangular Alto Chico 700ml. Violeta</t>
  </si>
  <si>
    <t>Rectangular Alto Mediano 2300ml. Violeta</t>
  </si>
  <si>
    <t>Rectangular Alto Grande 4600ml Violeta</t>
  </si>
  <si>
    <t>Set x 3 Rectang. (718+721+723)Violeta</t>
  </si>
  <si>
    <t>Sandwichera  660ml. Violeta</t>
  </si>
  <si>
    <t>Snack Box Tres Divisiones 1,5lts. Violeta</t>
  </si>
  <si>
    <t>Escurridor de cubiertos Blanco</t>
  </si>
  <si>
    <t>1320/20</t>
  </si>
  <si>
    <t>Escurridor de cubiertos Negro</t>
  </si>
  <si>
    <t>1320/3</t>
  </si>
  <si>
    <t>Escurridor de cubiertos Gris</t>
  </si>
  <si>
    <t>Dispenser de detergente Blanco</t>
  </si>
  <si>
    <t>1321/20</t>
  </si>
  <si>
    <t>Dispenser de detergente Negro</t>
  </si>
  <si>
    <t>1321/3</t>
  </si>
  <si>
    <t>Dispenser de detergente Gris</t>
  </si>
  <si>
    <t>Porta detergente y esponja Blanco</t>
  </si>
  <si>
    <t>1322/20</t>
  </si>
  <si>
    <t>Porta detergente y esponja Negro</t>
  </si>
  <si>
    <t>1322/3</t>
  </si>
  <si>
    <t>Porta detergente y esponja Gris</t>
  </si>
  <si>
    <t>Escurridor con bandeja Blanco</t>
  </si>
  <si>
    <t>1323/20</t>
  </si>
  <si>
    <t>Escurridor con bandeja Negro</t>
  </si>
  <si>
    <t>1323/3</t>
  </si>
  <si>
    <t>Escurridor con bandeja Gris</t>
  </si>
  <si>
    <t>Basurero de pileta Blanco</t>
  </si>
  <si>
    <t>1324/20</t>
  </si>
  <si>
    <t>Basurero de pileta Negro</t>
  </si>
  <si>
    <t>1324/3</t>
  </si>
  <si>
    <t>Basurero de pileta Gris</t>
  </si>
  <si>
    <t>Juego 1320/20, 1324/20 y 1321/20 en caja</t>
  </si>
  <si>
    <t>1325/20</t>
  </si>
  <si>
    <t>Juego 1320, 1324 y 1321 en caja</t>
  </si>
  <si>
    <t>Organizador de cubiertos Blanco</t>
  </si>
  <si>
    <t>Bottega</t>
  </si>
  <si>
    <t>9067</t>
  </si>
  <si>
    <t>37653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</si>
</sst>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$&quot;\ * #,##0.00_ ;_ &quot;$&quot;\ * \-#,##0.00_ ;_ &quot;$&quot;\ * &quot;-&quot;??_ ;_ @_ "/>
    <numFmt numFmtId="165" formatCode="&quot;$&quot;\ #,##0.00"/>
    <numFmt numFmtId="166" formatCode="_-[$€-2]\ * #,##0.00_-;\-[$€-2]\ * #,##0.00_-;_-[$€-2]\ * &quot;-&quot;??_-"/>
    <numFmt numFmtId="167" formatCode="0.0000"/>
    <numFmt numFmtId="168" formatCode="_-&quot;$&quot;* #,##0_-;\-&quot;$&quot;* #,##0_-;_-&quot;$&quot;* &quot;-&quot;??_-;_-@_-"/>
    <numFmt numFmtId="169" formatCode="_(&quot;$&quot;* #,##0_);_(&quot;$&quot;* \(#,##0\);_(&quot;$&quot;* &quot;-&quot;??_);_(@_)"/>
    <numFmt numFmtId="170" formatCode="_ &quot;$&quot;\ * #,##0_ ;_ &quot;$&quot;\ * \-#,##0_ ;_ &quot;$&quot;\ * &quot;-&quot;??_ ;_ @_ "/>
    <numFmt numFmtId="171" formatCode="_-&quot;$&quot;\ * #,##0_-;\-&quot;$&quot;\ * #,##0_-;_-&quot;$&quot;\ * &quot;-&quot;??_-;_-@_-"/>
  </numFmts>
  <fonts count="4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sz val="11"/>
      <name val="Arial"/>
      <family val="2"/>
    </font>
    <font>
      <sz val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i/>
      <sz val="12"/>
      <color indexed="8"/>
      <name val="Times New Roman"/>
      <family val="1"/>
    </font>
    <font>
      <sz val="11"/>
      <name val="Times New Roman"/>
      <family val="1"/>
    </font>
    <font>
      <b/>
      <u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57"/>
      <name val="Arial"/>
      <family val="2"/>
    </font>
    <font>
      <b/>
      <sz val="10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theme="1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b/>
      <i/>
      <sz val="9"/>
      <color indexed="8"/>
      <name val="Times New Roman"/>
      <family val="1"/>
    </font>
    <font>
      <b/>
      <u/>
      <sz val="12"/>
      <name val="Arial"/>
      <family val="2"/>
    </font>
    <font>
      <sz val="12"/>
      <name val="Times New Roman"/>
      <family val="1"/>
    </font>
    <font>
      <b/>
      <i/>
      <u/>
      <sz val="12"/>
      <name val="Times New Roman"/>
      <family val="1"/>
    </font>
    <font>
      <b/>
      <u/>
      <sz val="14"/>
      <name val="Times New Roman"/>
      <family val="1"/>
    </font>
    <font>
      <b/>
      <sz val="12"/>
      <name val="Times New Roman"/>
      <family val="1"/>
    </font>
    <font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name val="Arial"/>
      <family val="2"/>
    </font>
    <font>
      <b/>
      <sz val="10"/>
      <color rgb="FFFF0000"/>
      <name val="Arial"/>
      <family val="2"/>
    </font>
    <font>
      <b/>
      <sz val="8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Arial"/>
      <family val="2"/>
    </font>
    <font>
      <sz val="14"/>
      <color rgb="FF22222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theme="6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166" fontId="14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9" fillId="0" borderId="0"/>
    <xf numFmtId="0" fontId="18" fillId="0" borderId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8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65" fontId="3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0" fillId="0" borderId="0" xfId="3" applyFont="1"/>
    <xf numFmtId="164" fontId="0" fillId="0" borderId="0" xfId="3" applyFont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165" fontId="2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/>
    <xf numFmtId="164" fontId="7" fillId="0" borderId="0" xfId="3" applyFont="1" applyBorder="1" applyAlignment="1">
      <alignment horizontal="left"/>
    </xf>
    <xf numFmtId="0" fontId="0" fillId="0" borderId="0" xfId="0" applyAlignment="1">
      <alignment horizontal="left"/>
    </xf>
    <xf numFmtId="165" fontId="9" fillId="0" borderId="4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6" xfId="3" applyNumberFormat="1" applyFont="1" applyBorder="1" applyAlignment="1">
      <alignment horizontal="left"/>
    </xf>
    <xf numFmtId="0" fontId="2" fillId="0" borderId="8" xfId="0" applyFont="1" applyBorder="1" applyAlignment="1">
      <alignment horizontal="center" vertical="center" wrapText="1"/>
    </xf>
    <xf numFmtId="164" fontId="2" fillId="0" borderId="8" xfId="3" applyFont="1" applyBorder="1" applyAlignment="1">
      <alignment horizontal="center" vertical="center" wrapText="1"/>
    </xf>
    <xf numFmtId="0" fontId="0" fillId="0" borderId="9" xfId="0" applyBorder="1"/>
    <xf numFmtId="0" fontId="9" fillId="0" borderId="10" xfId="0" applyFont="1" applyBorder="1"/>
    <xf numFmtId="0" fontId="1" fillId="0" borderId="0" xfId="0" applyFont="1"/>
    <xf numFmtId="165" fontId="9" fillId="0" borderId="12" xfId="0" applyNumberFormat="1" applyFont="1" applyBorder="1" applyAlignment="1">
      <alignment horizontal="left"/>
    </xf>
    <xf numFmtId="0" fontId="0" fillId="7" borderId="13" xfId="0" applyFill="1" applyBorder="1" applyAlignment="1">
      <alignment horizontal="center"/>
    </xf>
    <xf numFmtId="0" fontId="2" fillId="8" borderId="14" xfId="0" applyFont="1" applyFill="1" applyBorder="1"/>
    <xf numFmtId="164" fontId="2" fillId="8" borderId="15" xfId="3" applyFont="1" applyFill="1" applyBorder="1"/>
    <xf numFmtId="0" fontId="2" fillId="0" borderId="17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5" fillId="9" borderId="2" xfId="0" applyFont="1" applyFill="1" applyBorder="1" applyAlignment="1">
      <alignment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 wrapText="1"/>
    </xf>
    <xf numFmtId="0" fontId="5" fillId="9" borderId="20" xfId="0" applyFont="1" applyFill="1" applyBorder="1" applyAlignment="1">
      <alignment vertical="center" wrapText="1"/>
    </xf>
    <xf numFmtId="0" fontId="5" fillId="0" borderId="24" xfId="0" applyFont="1" applyBorder="1" applyAlignment="1">
      <alignment horizontal="center"/>
    </xf>
    <xf numFmtId="0" fontId="11" fillId="0" borderId="1" xfId="0" applyFont="1" applyBorder="1" applyAlignment="1">
      <alignment horizontal="center" vertical="top" wrapText="1"/>
    </xf>
    <xf numFmtId="0" fontId="11" fillId="0" borderId="1" xfId="3" applyNumberFormat="1" applyFont="1" applyFill="1" applyBorder="1" applyAlignment="1">
      <alignment horizontal="center" vertical="top" wrapText="1"/>
    </xf>
    <xf numFmtId="167" fontId="20" fillId="3" borderId="1" xfId="0" applyNumberFormat="1" applyFont="1" applyFill="1" applyBorder="1" applyAlignment="1">
      <alignment vertical="top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168" fontId="21" fillId="0" borderId="1" xfId="3" applyNumberFormat="1" applyFont="1" applyFill="1" applyBorder="1" applyAlignment="1">
      <alignment horizontal="center" vertical="center"/>
    </xf>
    <xf numFmtId="167" fontId="12" fillId="0" borderId="0" xfId="0" applyNumberFormat="1" applyFont="1"/>
    <xf numFmtId="0" fontId="21" fillId="0" borderId="1" xfId="0" applyFont="1" applyBorder="1" applyAlignment="1">
      <alignment horizontal="left" vertical="center" wrapText="1"/>
    </xf>
    <xf numFmtId="164" fontId="6" fillId="0" borderId="0" xfId="3" applyFont="1" applyFill="1" applyAlignment="1">
      <alignment vertical="top" wrapText="1"/>
    </xf>
    <xf numFmtId="49" fontId="22" fillId="9" borderId="1" xfId="5" applyNumberFormat="1" applyFont="1" applyFill="1" applyBorder="1" applyAlignment="1">
      <alignment horizontal="center" vertical="center"/>
    </xf>
    <xf numFmtId="0" fontId="22" fillId="9" borderId="1" xfId="5" applyFont="1" applyFill="1" applyBorder="1" applyAlignment="1">
      <alignment horizontal="left" vertical="center"/>
    </xf>
    <xf numFmtId="169" fontId="23" fillId="9" borderId="1" xfId="3" applyNumberFormat="1" applyFont="1" applyFill="1" applyBorder="1" applyAlignment="1">
      <alignment horizontal="center" vertical="center"/>
    </xf>
    <xf numFmtId="0" fontId="22" fillId="9" borderId="1" xfId="5" applyFont="1" applyFill="1" applyBorder="1" applyAlignment="1">
      <alignment horizontal="center" vertical="center"/>
    </xf>
    <xf numFmtId="49" fontId="22" fillId="0" borderId="1" xfId="5" applyNumberFormat="1" applyFont="1" applyBorder="1" applyAlignment="1">
      <alignment horizontal="center" vertical="center"/>
    </xf>
    <xf numFmtId="0" fontId="22" fillId="0" borderId="1" xfId="5" applyFont="1" applyBorder="1" applyAlignment="1">
      <alignment horizontal="left" vertical="center"/>
    </xf>
    <xf numFmtId="169" fontId="23" fillId="0" borderId="1" xfId="3" applyNumberFormat="1" applyFont="1" applyFill="1" applyBorder="1" applyAlignment="1">
      <alignment horizontal="center" vertical="center"/>
    </xf>
    <xf numFmtId="0" fontId="22" fillId="0" borderId="1" xfId="5" applyFont="1" applyBorder="1" applyAlignment="1">
      <alignment horizontal="center" vertical="center"/>
    </xf>
    <xf numFmtId="49" fontId="22" fillId="0" borderId="19" xfId="5" applyNumberFormat="1" applyFont="1" applyBorder="1" applyAlignment="1">
      <alignment horizontal="center" vertical="center"/>
    </xf>
    <xf numFmtId="0" fontId="22" fillId="0" borderId="19" xfId="5" applyFont="1" applyBorder="1" applyAlignment="1">
      <alignment horizontal="left" vertical="center"/>
    </xf>
    <xf numFmtId="169" fontId="23" fillId="0" borderId="19" xfId="3" applyNumberFormat="1" applyFont="1" applyFill="1" applyBorder="1" applyAlignment="1">
      <alignment horizontal="center" vertical="center"/>
    </xf>
    <xf numFmtId="0" fontId="22" fillId="0" borderId="19" xfId="5" applyFont="1" applyBorder="1" applyAlignment="1">
      <alignment horizontal="center" vertical="center"/>
    </xf>
    <xf numFmtId="1" fontId="22" fillId="0" borderId="20" xfId="5" applyNumberFormat="1" applyFont="1" applyBorder="1" applyAlignment="1">
      <alignment horizontal="center" vertical="center"/>
    </xf>
    <xf numFmtId="0" fontId="22" fillId="0" borderId="20" xfId="5" applyFont="1" applyBorder="1" applyAlignment="1">
      <alignment horizontal="left" vertical="center"/>
    </xf>
    <xf numFmtId="0" fontId="22" fillId="0" borderId="20" xfId="5" applyFont="1" applyBorder="1" applyAlignment="1">
      <alignment horizontal="center" vertical="center"/>
    </xf>
    <xf numFmtId="1" fontId="22" fillId="0" borderId="1" xfId="5" applyNumberFormat="1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left" vertical="center"/>
    </xf>
    <xf numFmtId="170" fontId="5" fillId="0" borderId="28" xfId="3" applyNumberFormat="1" applyFont="1" applyFill="1" applyBorder="1" applyAlignment="1">
      <alignment vertical="center"/>
    </xf>
    <xf numFmtId="0" fontId="5" fillId="10" borderId="24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top" wrapText="1"/>
    </xf>
    <xf numFmtId="0" fontId="25" fillId="3" borderId="1" xfId="0" applyFont="1" applyFill="1" applyBorder="1" applyAlignment="1">
      <alignment horizontal="center" vertical="top" wrapText="1"/>
    </xf>
    <xf numFmtId="170" fontId="26" fillId="3" borderId="24" xfId="3" applyNumberFormat="1" applyFont="1" applyFill="1" applyBorder="1" applyAlignment="1">
      <alignment vertical="top" wrapText="1"/>
    </xf>
    <xf numFmtId="0" fontId="24" fillId="3" borderId="24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center" vertical="center"/>
    </xf>
    <xf numFmtId="170" fontId="5" fillId="0" borderId="3" xfId="3" applyNumberFormat="1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170" fontId="5" fillId="7" borderId="3" xfId="3" applyNumberFormat="1" applyFont="1" applyFill="1" applyBorder="1" applyAlignment="1">
      <alignment vertical="center"/>
    </xf>
    <xf numFmtId="170" fontId="5" fillId="0" borderId="1" xfId="3" applyNumberFormat="1" applyFont="1" applyFill="1" applyBorder="1" applyAlignment="1">
      <alignment vertical="center"/>
    </xf>
    <xf numFmtId="0" fontId="5" fillId="2" borderId="18" xfId="0" applyFont="1" applyFill="1" applyBorder="1" applyAlignment="1">
      <alignment horizontal="left" vertical="center"/>
    </xf>
    <xf numFmtId="17" fontId="5" fillId="2" borderId="20" xfId="0" applyNumberFormat="1" applyFont="1" applyFill="1" applyBorder="1" applyAlignment="1">
      <alignment horizontal="center" vertical="center"/>
    </xf>
    <xf numFmtId="0" fontId="27" fillId="2" borderId="20" xfId="0" applyFont="1" applyFill="1" applyBorder="1" applyAlignment="1">
      <alignment horizontal="left" vertical="center"/>
    </xf>
    <xf numFmtId="170" fontId="5" fillId="0" borderId="27" xfId="3" applyNumberFormat="1" applyFont="1" applyFill="1" applyBorder="1" applyAlignment="1">
      <alignment vertical="center"/>
    </xf>
    <xf numFmtId="0" fontId="5" fillId="2" borderId="20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vertical="center" wrapText="1"/>
    </xf>
    <xf numFmtId="170" fontId="5" fillId="9" borderId="1" xfId="3" applyNumberFormat="1" applyFont="1" applyFill="1" applyBorder="1" applyAlignment="1">
      <alignment vertical="center"/>
    </xf>
    <xf numFmtId="0" fontId="5" fillId="10" borderId="2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9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170" fontId="3" fillId="7" borderId="1" xfId="3" applyNumberFormat="1" applyFont="1" applyFill="1" applyBorder="1" applyAlignment="1">
      <alignment vertical="center"/>
    </xf>
    <xf numFmtId="0" fontId="3" fillId="7" borderId="20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/>
    </xf>
    <xf numFmtId="0" fontId="3" fillId="11" borderId="20" xfId="0" applyFont="1" applyFill="1" applyBorder="1" applyAlignment="1">
      <alignment horizontal="center" vertical="center" wrapText="1"/>
    </xf>
    <xf numFmtId="170" fontId="5" fillId="0" borderId="1" xfId="3" applyNumberFormat="1" applyFont="1" applyBorder="1" applyAlignment="1">
      <alignment vertical="center" wrapText="1"/>
    </xf>
    <xf numFmtId="0" fontId="28" fillId="0" borderId="28" xfId="0" applyFont="1" applyBorder="1" applyAlignment="1">
      <alignment horizontal="center" vertical="top" wrapText="1"/>
    </xf>
    <xf numFmtId="0" fontId="28" fillId="0" borderId="28" xfId="0" applyFont="1" applyBorder="1" applyAlignment="1">
      <alignment vertical="top" wrapText="1"/>
    </xf>
    <xf numFmtId="170" fontId="28" fillId="0" borderId="28" xfId="3" applyNumberFormat="1" applyFont="1" applyBorder="1" applyAlignment="1">
      <alignment vertical="top" wrapText="1"/>
    </xf>
    <xf numFmtId="0" fontId="8" fillId="0" borderId="24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170" fontId="5" fillId="9" borderId="1" xfId="3" applyNumberFormat="1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center" vertical="center"/>
    </xf>
    <xf numFmtId="170" fontId="5" fillId="0" borderId="28" xfId="3" applyNumberFormat="1" applyFont="1" applyBorder="1" applyAlignment="1"/>
    <xf numFmtId="170" fontId="5" fillId="9" borderId="21" xfId="3" applyNumberFormat="1" applyFont="1" applyFill="1" applyBorder="1" applyAlignment="1">
      <alignment vertical="center" wrapText="1"/>
    </xf>
    <xf numFmtId="0" fontId="5" fillId="9" borderId="21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8" xfId="0" applyFont="1" applyBorder="1" applyAlignment="1">
      <alignment vertical="center" wrapText="1"/>
    </xf>
    <xf numFmtId="170" fontId="12" fillId="0" borderId="28" xfId="3" applyNumberFormat="1" applyFont="1" applyBorder="1" applyAlignment="1">
      <alignment vertical="center" wrapText="1"/>
    </xf>
    <xf numFmtId="170" fontId="5" fillId="0" borderId="28" xfId="3" applyNumberFormat="1" applyFont="1" applyBorder="1" applyAlignment="1">
      <alignment vertical="center" wrapText="1"/>
    </xf>
    <xf numFmtId="0" fontId="29" fillId="0" borderId="24" xfId="0" applyFont="1" applyBorder="1" applyAlignment="1">
      <alignment horizontal="center" vertical="center"/>
    </xf>
    <xf numFmtId="170" fontId="5" fillId="0" borderId="2" xfId="3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left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/>
    </xf>
    <xf numFmtId="0" fontId="5" fillId="0" borderId="28" xfId="0" applyFont="1" applyBorder="1" applyAlignment="1">
      <alignment vertical="center" wrapText="1"/>
    </xf>
    <xf numFmtId="0" fontId="30" fillId="0" borderId="28" xfId="0" applyFont="1" applyBorder="1" applyAlignment="1">
      <alignment vertical="top" wrapText="1"/>
    </xf>
    <xf numFmtId="170" fontId="0" fillId="0" borderId="28" xfId="3" applyNumberFormat="1" applyFont="1" applyBorder="1" applyAlignment="1"/>
    <xf numFmtId="0" fontId="28" fillId="0" borderId="24" xfId="0" applyFont="1" applyBorder="1" applyAlignment="1">
      <alignment horizontal="center" vertical="top" wrapText="1"/>
    </xf>
    <xf numFmtId="170" fontId="5" fillId="0" borderId="22" xfId="3" applyNumberFormat="1" applyFont="1" applyBorder="1" applyAlignment="1">
      <alignment vertical="center" wrapText="1"/>
    </xf>
    <xf numFmtId="170" fontId="5" fillId="0" borderId="21" xfId="3" applyNumberFormat="1" applyFont="1" applyBorder="1" applyAlignment="1">
      <alignment vertical="center" wrapText="1"/>
    </xf>
    <xf numFmtId="1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70" fontId="5" fillId="0" borderId="20" xfId="3" applyNumberFormat="1" applyFont="1" applyBorder="1" applyAlignment="1">
      <alignment vertical="center" wrapText="1"/>
    </xf>
    <xf numFmtId="170" fontId="5" fillId="0" borderId="1" xfId="3" applyNumberFormat="1" applyFont="1" applyFill="1" applyBorder="1" applyAlignment="1">
      <alignment vertical="center" wrapText="1"/>
    </xf>
    <xf numFmtId="0" fontId="5" fillId="9" borderId="1" xfId="0" applyFont="1" applyFill="1" applyBorder="1" applyAlignment="1">
      <alignment horizontal="left" vertical="center" wrapText="1"/>
    </xf>
    <xf numFmtId="1" fontId="5" fillId="0" borderId="2" xfId="0" applyNumberFormat="1" applyFont="1" applyBorder="1" applyAlignment="1">
      <alignment horizontal="center" vertical="center"/>
    </xf>
    <xf numFmtId="170" fontId="5" fillId="7" borderId="1" xfId="3" applyNumberFormat="1" applyFont="1" applyFill="1" applyBorder="1" applyAlignment="1">
      <alignment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70" fontId="5" fillId="0" borderId="1" xfId="3" applyNumberFormat="1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170" fontId="5" fillId="0" borderId="2" xfId="3" applyNumberFormat="1" applyFont="1" applyFill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170" fontId="5" fillId="0" borderId="20" xfId="3" applyNumberFormat="1" applyFont="1" applyFill="1" applyBorder="1" applyAlignment="1">
      <alignment vertical="center"/>
    </xf>
    <xf numFmtId="0" fontId="5" fillId="0" borderId="18" xfId="0" applyFont="1" applyBorder="1" applyAlignment="1">
      <alignment horizontal="left" vertical="center"/>
    </xf>
    <xf numFmtId="170" fontId="5" fillId="0" borderId="18" xfId="3" applyNumberFormat="1" applyFont="1" applyFill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170" fontId="5" fillId="0" borderId="2" xfId="3" applyNumberFormat="1" applyFont="1" applyFill="1" applyBorder="1" applyAlignment="1">
      <alignment vertical="center" wrapText="1"/>
    </xf>
    <xf numFmtId="170" fontId="5" fillId="0" borderId="18" xfId="3" applyNumberFormat="1" applyFont="1" applyBorder="1" applyAlignment="1">
      <alignment vertical="center" wrapText="1"/>
    </xf>
    <xf numFmtId="170" fontId="5" fillId="0" borderId="23" xfId="3" applyNumberFormat="1" applyFont="1" applyBorder="1" applyAlignment="1">
      <alignment vertical="center" wrapText="1"/>
    </xf>
    <xf numFmtId="49" fontId="5" fillId="0" borderId="1" xfId="0" applyNumberFormat="1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left" vertical="center" wrapText="1"/>
      <protection hidden="1"/>
    </xf>
    <xf numFmtId="1" fontId="5" fillId="9" borderId="1" xfId="0" applyNumberFormat="1" applyFont="1" applyFill="1" applyBorder="1" applyAlignment="1" applyProtection="1">
      <alignment horizontal="center" vertical="center"/>
      <protection hidden="1"/>
    </xf>
    <xf numFmtId="1" fontId="5" fillId="0" borderId="1" xfId="0" applyNumberFormat="1" applyFont="1" applyBorder="1" applyAlignment="1" applyProtection="1">
      <alignment horizontal="center" vertical="center"/>
      <protection hidden="1"/>
    </xf>
    <xf numFmtId="1" fontId="5" fillId="0" borderId="1" xfId="0" applyNumberFormat="1" applyFont="1" applyBorder="1" applyAlignment="1" applyProtection="1">
      <alignment horizontal="center" vertical="center" wrapText="1"/>
      <protection hidden="1"/>
    </xf>
    <xf numFmtId="3" fontId="5" fillId="0" borderId="1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70" fontId="5" fillId="0" borderId="2" xfId="3" applyNumberFormat="1" applyFont="1" applyBorder="1" applyAlignment="1">
      <alignment vertical="center"/>
    </xf>
    <xf numFmtId="3" fontId="5" fillId="0" borderId="20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170" fontId="5" fillId="0" borderId="20" xfId="3" applyNumberFormat="1" applyFont="1" applyBorder="1" applyAlignment="1">
      <alignment vertical="center"/>
    </xf>
    <xf numFmtId="3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3" fontId="3" fillId="7" borderId="25" xfId="0" applyNumberFormat="1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vertical="center" wrapText="1"/>
    </xf>
    <xf numFmtId="170" fontId="3" fillId="7" borderId="25" xfId="3" applyNumberFormat="1" applyFont="1" applyFill="1" applyBorder="1" applyAlignment="1">
      <alignment vertical="center"/>
    </xf>
    <xf numFmtId="3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0" fontId="0" fillId="9" borderId="0" xfId="0" applyFill="1"/>
    <xf numFmtId="0" fontId="0" fillId="0" borderId="28" xfId="0" applyBorder="1"/>
    <xf numFmtId="0" fontId="31" fillId="0" borderId="28" xfId="0" applyFont="1" applyBorder="1" applyAlignment="1">
      <alignment horizontal="left" vertical="center"/>
    </xf>
    <xf numFmtId="3" fontId="5" fillId="7" borderId="20" xfId="0" applyNumberFormat="1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vertical="center"/>
    </xf>
    <xf numFmtId="170" fontId="5" fillId="7" borderId="1" xfId="3" applyNumberFormat="1" applyFont="1" applyFill="1" applyBorder="1" applyAlignment="1">
      <alignment vertical="center"/>
    </xf>
    <xf numFmtId="1" fontId="1" fillId="0" borderId="1" xfId="0" quotePrefix="1" applyNumberFormat="1" applyFont="1" applyBorder="1" applyAlignment="1">
      <alignment horizontal="center" vertical="center"/>
    </xf>
    <xf numFmtId="170" fontId="32" fillId="9" borderId="1" xfId="3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vertical="center"/>
    </xf>
    <xf numFmtId="170" fontId="5" fillId="9" borderId="2" xfId="3" applyNumberFormat="1" applyFont="1" applyFill="1" applyBorder="1" applyAlignment="1">
      <alignment vertical="center"/>
    </xf>
    <xf numFmtId="0" fontId="5" fillId="0" borderId="18" xfId="0" applyFont="1" applyBorder="1" applyAlignment="1">
      <alignment vertical="center"/>
    </xf>
    <xf numFmtId="170" fontId="5" fillId="0" borderId="18" xfId="3" applyNumberFormat="1" applyFont="1" applyBorder="1" applyAlignment="1">
      <alignment vertical="center"/>
    </xf>
    <xf numFmtId="3" fontId="5" fillId="0" borderId="28" xfId="0" applyNumberFormat="1" applyFont="1" applyBorder="1" applyAlignment="1">
      <alignment horizontal="center" vertical="center"/>
    </xf>
    <xf numFmtId="170" fontId="26" fillId="9" borderId="28" xfId="3" applyNumberFormat="1" applyFont="1" applyFill="1" applyBorder="1" applyAlignment="1">
      <alignment vertical="top" wrapText="1"/>
    </xf>
    <xf numFmtId="1" fontId="5" fillId="9" borderId="24" xfId="0" applyNumberFormat="1" applyFont="1" applyFill="1" applyBorder="1" applyAlignment="1">
      <alignment horizontal="center" vertical="center" wrapText="1"/>
    </xf>
    <xf numFmtId="170" fontId="32" fillId="0" borderId="1" xfId="3" applyNumberFormat="1" applyFont="1" applyBorder="1" applyAlignment="1">
      <alignment vertical="center"/>
    </xf>
    <xf numFmtId="164" fontId="0" fillId="0" borderId="0" xfId="3" applyFont="1" applyFill="1"/>
    <xf numFmtId="0" fontId="21" fillId="0" borderId="31" xfId="0" applyFont="1" applyBorder="1" applyAlignment="1">
      <alignment horizontal="center" vertical="center"/>
    </xf>
    <xf numFmtId="168" fontId="21" fillId="0" borderId="33" xfId="3" applyNumberFormat="1" applyFont="1" applyFill="1" applyBorder="1" applyAlignment="1">
      <alignment horizontal="center" vertical="center"/>
    </xf>
    <xf numFmtId="0" fontId="21" fillId="0" borderId="33" xfId="0" applyFont="1" applyBorder="1" applyAlignment="1">
      <alignment vertical="center"/>
    </xf>
    <xf numFmtId="0" fontId="21" fillId="0" borderId="32" xfId="0" applyFont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168" fontId="21" fillId="0" borderId="34" xfId="3" applyNumberFormat="1" applyFont="1" applyFill="1" applyBorder="1" applyAlignment="1">
      <alignment horizontal="center" vertical="center"/>
    </xf>
    <xf numFmtId="169" fontId="23" fillId="0" borderId="20" xfId="3" applyNumberFormat="1" applyFont="1" applyBorder="1" applyAlignment="1">
      <alignment horizontal="center" vertical="center"/>
    </xf>
    <xf numFmtId="169" fontId="23" fillId="0" borderId="1" xfId="3" applyNumberFormat="1" applyFont="1" applyBorder="1" applyAlignment="1">
      <alignment horizontal="center" vertical="center"/>
    </xf>
    <xf numFmtId="170" fontId="0" fillId="0" borderId="9" xfId="3" applyNumberFormat="1" applyFont="1" applyBorder="1"/>
    <xf numFmtId="170" fontId="0" fillId="0" borderId="5" xfId="3" applyNumberFormat="1" applyFont="1" applyBorder="1"/>
    <xf numFmtId="170" fontId="2" fillId="8" borderId="16" xfId="3" applyNumberFormat="1" applyFont="1" applyFill="1" applyBorder="1"/>
    <xf numFmtId="165" fontId="3" fillId="0" borderId="0" xfId="0" applyNumberFormat="1" applyFont="1" applyAlignment="1">
      <alignment horizontal="center"/>
    </xf>
    <xf numFmtId="0" fontId="0" fillId="0" borderId="1" xfId="0" applyBorder="1"/>
    <xf numFmtId="0" fontId="0" fillId="0" borderId="1" xfId="0" applyBorder="1" applyAlignment="1" applyProtection="1">
      <alignment wrapText="1"/>
      <protection locked="0"/>
    </xf>
    <xf numFmtId="9" fontId="0" fillId="0" borderId="26" xfId="7" applyFont="1" applyBorder="1" applyProtection="1">
      <protection locked="0"/>
    </xf>
    <xf numFmtId="49" fontId="7" fillId="0" borderId="35" xfId="3" applyNumberFormat="1" applyFont="1" applyBorder="1" applyAlignment="1" applyProtection="1">
      <alignment horizontal="center"/>
      <protection locked="0"/>
    </xf>
    <xf numFmtId="0" fontId="34" fillId="0" borderId="9" xfId="0" applyFont="1" applyBorder="1" applyAlignment="1" applyProtection="1">
      <alignment horizontal="center"/>
      <protection locked="0"/>
    </xf>
    <xf numFmtId="0" fontId="34" fillId="0" borderId="9" xfId="0" applyFont="1" applyBorder="1" applyProtection="1">
      <protection locked="0"/>
    </xf>
    <xf numFmtId="0" fontId="34" fillId="0" borderId="0" xfId="0" applyFont="1" applyProtection="1">
      <protection locked="0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71" fontId="0" fillId="0" borderId="1" xfId="3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5" fillId="0" borderId="9" xfId="0" applyFont="1" applyBorder="1"/>
    <xf numFmtId="0" fontId="0" fillId="0" borderId="36" xfId="0" applyBorder="1"/>
    <xf numFmtId="0" fontId="0" fillId="0" borderId="37" xfId="0" applyBorder="1"/>
    <xf numFmtId="165" fontId="9" fillId="0" borderId="3" xfId="0" applyNumberFormat="1" applyFont="1" applyBorder="1"/>
    <xf numFmtId="165" fontId="9" fillId="0" borderId="28" xfId="0" applyNumberFormat="1" applyFont="1" applyBorder="1"/>
    <xf numFmtId="0" fontId="22" fillId="0" borderId="24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/>
    </xf>
    <xf numFmtId="170" fontId="23" fillId="0" borderId="1" xfId="3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170" fontId="23" fillId="0" borderId="1" xfId="3" applyNumberFormat="1" applyFont="1" applyBorder="1" applyAlignment="1">
      <alignment horizontal="center" vertical="center" wrapText="1"/>
    </xf>
    <xf numFmtId="0" fontId="22" fillId="9" borderId="24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vertical="center" wrapText="1"/>
    </xf>
    <xf numFmtId="170" fontId="23" fillId="9" borderId="1" xfId="3" applyNumberFormat="1" applyFont="1" applyFill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35" fillId="0" borderId="0" xfId="0" applyFont="1"/>
    <xf numFmtId="0" fontId="2" fillId="0" borderId="11" xfId="0" applyFont="1" applyBorder="1" applyAlignment="1">
      <alignment horizontal="center" vertical="center"/>
    </xf>
    <xf numFmtId="0" fontId="0" fillId="0" borderId="0" xfId="0" quotePrefix="1"/>
    <xf numFmtId="0" fontId="21" fillId="0" borderId="31" xfId="0" applyFont="1" applyBorder="1" applyAlignment="1">
      <alignment horizontal="left" vertical="center"/>
    </xf>
    <xf numFmtId="164" fontId="7" fillId="0" borderId="27" xfId="3" applyFont="1" applyBorder="1" applyAlignment="1" applyProtection="1">
      <protection locked="0"/>
    </xf>
    <xf numFmtId="164" fontId="7" fillId="0" borderId="38" xfId="3" applyFont="1" applyBorder="1" applyAlignment="1" applyProtection="1">
      <protection locked="0"/>
    </xf>
    <xf numFmtId="164" fontId="7" fillId="0" borderId="22" xfId="3" applyFont="1" applyBorder="1" applyAlignment="1" applyProtection="1">
      <protection locked="0"/>
    </xf>
    <xf numFmtId="3" fontId="17" fillId="0" borderId="28" xfId="0" quotePrefix="1" applyNumberFormat="1" applyFont="1" applyBorder="1" applyAlignment="1">
      <alignment horizontal="center" vertical="center"/>
    </xf>
    <xf numFmtId="164" fontId="23" fillId="0" borderId="1" xfId="3" applyFont="1" applyBorder="1"/>
    <xf numFmtId="164" fontId="23" fillId="0" borderId="3" xfId="3" applyFont="1" applyBorder="1" applyAlignment="1"/>
    <xf numFmtId="164" fontId="23" fillId="0" borderId="1" xfId="3" applyFont="1" applyBorder="1" applyAlignment="1">
      <alignment horizontal="left"/>
    </xf>
    <xf numFmtId="164" fontId="23" fillId="0" borderId="3" xfId="3" applyFont="1" applyBorder="1" applyAlignment="1">
      <alignment horizontal="left"/>
    </xf>
    <xf numFmtId="0" fontId="2" fillId="0" borderId="7" xfId="0" applyFont="1" applyBorder="1" applyAlignment="1">
      <alignment horizontal="center" vertical="center" wrapText="1"/>
    </xf>
    <xf numFmtId="0" fontId="34" fillId="0" borderId="9" xfId="0" applyFont="1" applyBorder="1" applyAlignment="1" applyProtection="1">
      <alignment horizontal="right"/>
      <protection locked="0"/>
    </xf>
    <xf numFmtId="0" fontId="39" fillId="0" borderId="9" xfId="0" applyFont="1" applyBorder="1" applyAlignment="1" applyProtection="1">
      <alignment horizontal="right"/>
      <protection locked="0"/>
    </xf>
    <xf numFmtId="0" fontId="34" fillId="9" borderId="1" xfId="4" applyFont="1" applyFill="1" applyBorder="1" applyAlignment="1" applyProtection="1">
      <alignment horizontal="right"/>
      <protection locked="0"/>
    </xf>
    <xf numFmtId="0" fontId="33" fillId="0" borderId="24" xfId="5" applyFont="1" applyBorder="1" applyProtection="1">
      <protection locked="0"/>
    </xf>
    <xf numFmtId="0" fontId="34" fillId="0" borderId="39" xfId="0" applyFont="1" applyBorder="1" applyAlignment="1" applyProtection="1">
      <alignment horizontal="center"/>
      <protection locked="0"/>
    </xf>
    <xf numFmtId="0" fontId="34" fillId="9" borderId="20" xfId="4" applyFont="1" applyFill="1" applyBorder="1" applyAlignment="1" applyProtection="1">
      <alignment horizontal="right"/>
      <protection locked="0"/>
    </xf>
    <xf numFmtId="0" fontId="37" fillId="0" borderId="40" xfId="5" applyFont="1" applyBorder="1" applyProtection="1">
      <protection locked="0"/>
    </xf>
    <xf numFmtId="0" fontId="37" fillId="0" borderId="9" xfId="5" applyFont="1" applyBorder="1" applyProtection="1">
      <protection locked="0"/>
    </xf>
    <xf numFmtId="0" fontId="38" fillId="0" borderId="9" xfId="5" applyFont="1" applyBorder="1" applyProtection="1">
      <protection locked="0"/>
    </xf>
    <xf numFmtId="0" fontId="34" fillId="9" borderId="9" xfId="4" applyFont="1" applyFill="1" applyBorder="1" applyAlignment="1" applyProtection="1">
      <alignment horizontal="right"/>
      <protection locked="0"/>
    </xf>
    <xf numFmtId="0" fontId="34" fillId="9" borderId="41" xfId="4" applyFont="1" applyFill="1" applyBorder="1" applyAlignment="1" applyProtection="1">
      <alignment horizontal="right"/>
      <protection locked="0"/>
    </xf>
    <xf numFmtId="0" fontId="22" fillId="12" borderId="1" xfId="0" applyFont="1" applyFill="1" applyBorder="1" applyAlignment="1">
      <alignment horizontal="center" vertical="center" wrapText="1"/>
    </xf>
    <xf numFmtId="170" fontId="23" fillId="12" borderId="1" xfId="3" applyNumberFormat="1" applyFont="1" applyFill="1" applyBorder="1" applyAlignment="1">
      <alignment vertical="center" wrapText="1"/>
    </xf>
    <xf numFmtId="0" fontId="22" fillId="12" borderId="21" xfId="0" applyFont="1" applyFill="1" applyBorder="1" applyAlignment="1">
      <alignment horizontal="center" vertical="center" wrapText="1"/>
    </xf>
    <xf numFmtId="0" fontId="22" fillId="12" borderId="20" xfId="0" applyFont="1" applyFill="1" applyBorder="1" applyAlignment="1">
      <alignment vertical="center" wrapText="1"/>
    </xf>
    <xf numFmtId="170" fontId="23" fillId="12" borderId="20" xfId="3" applyNumberFormat="1" applyFont="1" applyFill="1" applyBorder="1" applyAlignment="1">
      <alignment vertical="center" wrapText="1"/>
    </xf>
    <xf numFmtId="0" fontId="22" fillId="12" borderId="1" xfId="0" applyFont="1" applyFill="1" applyBorder="1" applyAlignment="1">
      <alignment horizontal="left" vertical="center" wrapText="1"/>
    </xf>
    <xf numFmtId="164" fontId="36" fillId="0" borderId="1" xfId="3" applyFont="1" applyBorder="1" applyAlignment="1">
      <alignment wrapText="1"/>
    </xf>
    <xf numFmtId="0" fontId="22" fillId="0" borderId="24" xfId="0" applyFont="1" applyBorder="1" applyAlignment="1">
      <alignment horizontal="center" vertical="center"/>
    </xf>
    <xf numFmtId="170" fontId="23" fillId="9" borderId="1" xfId="3" applyNumberFormat="1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170" fontId="23" fillId="0" borderId="0" xfId="3" applyNumberFormat="1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164" fontId="7" fillId="0" borderId="12" xfId="3" applyFont="1" applyBorder="1" applyAlignment="1" applyProtection="1">
      <alignment horizontal="left"/>
      <protection locked="0"/>
    </xf>
    <xf numFmtId="164" fontId="7" fillId="0" borderId="28" xfId="3" applyFont="1" applyBorder="1" applyAlignment="1" applyProtection="1">
      <alignment horizontal="left"/>
      <protection locked="0"/>
    </xf>
    <xf numFmtId="49" fontId="0" fillId="0" borderId="12" xfId="0" applyNumberFormat="1" applyBorder="1" applyAlignment="1" applyProtection="1">
      <alignment horizontal="center" vertical="center"/>
      <protection locked="0"/>
    </xf>
    <xf numFmtId="49" fontId="0" fillId="0" borderId="24" xfId="0" applyNumberFormat="1" applyBorder="1" applyAlignment="1" applyProtection="1">
      <alignment horizontal="center" vertical="center"/>
      <protection locked="0"/>
    </xf>
    <xf numFmtId="0" fontId="7" fillId="7" borderId="29" xfId="3" applyNumberFormat="1" applyFont="1" applyFill="1" applyBorder="1" applyAlignment="1"/>
    <xf numFmtId="0" fontId="7" fillId="7" borderId="30" xfId="3" applyNumberFormat="1" applyFont="1" applyFill="1" applyBorder="1" applyAlignment="1"/>
    <xf numFmtId="49" fontId="2" fillId="0" borderId="3" xfId="0" applyNumberFormat="1" applyFont="1" applyBorder="1" applyAlignment="1" applyProtection="1">
      <alignment horizontal="center" vertical="center"/>
      <protection locked="0"/>
    </xf>
    <xf numFmtId="49" fontId="2" fillId="0" borderId="24" xfId="0" applyNumberFormat="1" applyFont="1" applyBorder="1" applyAlignment="1" applyProtection="1">
      <alignment horizontal="center" vertical="center"/>
      <protection locked="0"/>
    </xf>
    <xf numFmtId="14" fontId="0" fillId="0" borderId="3" xfId="0" applyNumberFormat="1" applyBorder="1"/>
    <xf numFmtId="14" fontId="0" fillId="0" borderId="24" xfId="0" applyNumberFormat="1" applyBorder="1"/>
    <xf numFmtId="164" fontId="7" fillId="0" borderId="11" xfId="3" applyFont="1" applyBorder="1" applyAlignment="1" applyProtection="1">
      <alignment horizontal="left"/>
      <protection locked="0"/>
    </xf>
    <xf numFmtId="164" fontId="7" fillId="0" borderId="23" xfId="3" applyFont="1" applyBorder="1" applyAlignment="1" applyProtection="1">
      <alignment horizontal="left"/>
      <protection locked="0"/>
    </xf>
    <xf numFmtId="164" fontId="7" fillId="0" borderId="3" xfId="3" applyFont="1" applyBorder="1" applyAlignment="1" applyProtection="1">
      <alignment horizontal="left"/>
      <protection locked="0"/>
    </xf>
    <xf numFmtId="164" fontId="7" fillId="0" borderId="24" xfId="3" applyFont="1" applyBorder="1" applyAlignment="1" applyProtection="1">
      <alignment horizontal="left"/>
      <protection locked="0"/>
    </xf>
  </cellXfs>
  <cellStyles count="9">
    <cellStyle name="Currency" xfId="3" builtinId="4"/>
    <cellStyle name="Euro" xfId="1" xr:uid="{00000000-0005-0000-0000-000001000000}"/>
    <cellStyle name="Euro 2" xfId="2" xr:uid="{00000000-0005-0000-0000-000002000000}"/>
    <cellStyle name="Normal" xfId="0" builtinId="0"/>
    <cellStyle name="Normal 10" xfId="4" xr:uid="{00000000-0005-0000-0000-000004000000}"/>
    <cellStyle name="Normal 2" xfId="5" xr:uid="{00000000-0005-0000-0000-000005000000}"/>
    <cellStyle name="Normal 4" xfId="6" xr:uid="{00000000-0005-0000-0000-000006000000}"/>
    <cellStyle name="Percent" xfId="7" builtinId="5"/>
    <cellStyle name="Porcentaje 2" xfId="8" xr:uid="{00000000-0005-0000-0000-000008000000}"/>
  </cellStyles>
  <dxfs count="16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4.emf"/><Relationship Id="rId4" Type="http://schemas.openxmlformats.org/officeDocument/2006/relationships/image" Target="http://www.sobralinvicta.com.br/logo1.gif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866775</xdr:colOff>
      <xdr:row>115</xdr:row>
      <xdr:rowOff>104775</xdr:rowOff>
    </xdr:from>
    <xdr:to>
      <xdr:col>1</xdr:col>
      <xdr:colOff>1811655</xdr:colOff>
      <xdr:row>116</xdr:row>
      <xdr:rowOff>135890</xdr:rowOff>
    </xdr:to>
    <xdr:pic>
      <xdr:nvPicPr>
        <xdr:cNvPr id="14685" name="Picture 46" descr="Casar Cook.jpg">
          <a:extLst>
            <a:ext uri="{FF2B5EF4-FFF2-40B4-BE49-F238E27FC236}">
              <a16:creationId xmlns:a16="http://schemas.microsoft.com/office/drawing/2014/main" id="{9B1F2D4E-DC06-7814-F9D5-DF7FD968F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20335875"/>
          <a:ext cx="9525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647700</xdr:colOff>
      <xdr:row>125</xdr:row>
      <xdr:rowOff>104775</xdr:rowOff>
    </xdr:from>
    <xdr:to>
      <xdr:col>1</xdr:col>
      <xdr:colOff>2078355</xdr:colOff>
      <xdr:row>126</xdr:row>
      <xdr:rowOff>149225</xdr:rowOff>
    </xdr:to>
    <xdr:pic>
      <xdr:nvPicPr>
        <xdr:cNvPr id="14686" name="Picture 505" descr="Linha DiaDia">
          <a:extLst>
            <a:ext uri="{FF2B5EF4-FFF2-40B4-BE49-F238E27FC236}">
              <a16:creationId xmlns:a16="http://schemas.microsoft.com/office/drawing/2014/main" id="{E9E8A913-B66B-0860-7448-7C24F3CA9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21955125"/>
          <a:ext cx="14382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514350</xdr:colOff>
      <xdr:row>291</xdr:row>
      <xdr:rowOff>0</xdr:rowOff>
    </xdr:from>
    <xdr:to>
      <xdr:col>1</xdr:col>
      <xdr:colOff>1724025</xdr:colOff>
      <xdr:row>291</xdr:row>
      <xdr:rowOff>0</xdr:rowOff>
    </xdr:to>
    <xdr:pic>
      <xdr:nvPicPr>
        <xdr:cNvPr id="14692" name="Picture 13" descr="http://www.sobralinvicta.com.br/logo1.gif">
          <a:extLst>
            <a:ext uri="{FF2B5EF4-FFF2-40B4-BE49-F238E27FC236}">
              <a16:creationId xmlns:a16="http://schemas.microsoft.com/office/drawing/2014/main" id="{B6806DF9-C109-4461-C35C-A049B04AC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50863500"/>
          <a:ext cx="1209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1</xdr:col>
      <xdr:colOff>9525</xdr:colOff>
      <xdr:row>275</xdr:row>
      <xdr:rowOff>0</xdr:rowOff>
    </xdr:to>
    <xdr:sp macro="" textlink="">
      <xdr:nvSpPr>
        <xdr:cNvPr id="14693" name="Rectangle 16">
          <a:extLst>
            <a:ext uri="{FF2B5EF4-FFF2-40B4-BE49-F238E27FC236}">
              <a16:creationId xmlns:a16="http://schemas.microsoft.com/office/drawing/2014/main" id="{1DD2E94C-B2AD-8B0C-5C72-9C3191699B7C}"/>
            </a:ext>
          </a:extLst>
        </xdr:cNvPr>
        <xdr:cNvSpPr>
          <a:spLocks noChangeArrowheads="1"/>
        </xdr:cNvSpPr>
      </xdr:nvSpPr>
      <xdr:spPr bwMode="auto">
        <a:xfrm>
          <a:off x="0" y="48272700"/>
          <a:ext cx="5905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47625</xdr:colOff>
      <xdr:row>278</xdr:row>
      <xdr:rowOff>0</xdr:rowOff>
    </xdr:from>
    <xdr:to>
      <xdr:col>0</xdr:col>
      <xdr:colOff>314325</xdr:colOff>
      <xdr:row>279</xdr:row>
      <xdr:rowOff>0</xdr:rowOff>
    </xdr:to>
    <xdr:sp macro="" textlink="">
      <xdr:nvSpPr>
        <xdr:cNvPr id="14694" name="Rectangle 17">
          <a:extLst>
            <a:ext uri="{FF2B5EF4-FFF2-40B4-BE49-F238E27FC236}">
              <a16:creationId xmlns:a16="http://schemas.microsoft.com/office/drawing/2014/main" id="{79BB93AB-A033-21E1-F373-6E4BDB0BD958}"/>
            </a:ext>
          </a:extLst>
        </xdr:cNvPr>
        <xdr:cNvSpPr>
          <a:spLocks noChangeArrowheads="1"/>
        </xdr:cNvSpPr>
      </xdr:nvSpPr>
      <xdr:spPr bwMode="auto">
        <a:xfrm>
          <a:off x="47625" y="48920400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866775</xdr:colOff>
      <xdr:row>275</xdr:row>
      <xdr:rowOff>0</xdr:rowOff>
    </xdr:from>
    <xdr:to>
      <xdr:col>3</xdr:col>
      <xdr:colOff>0</xdr:colOff>
      <xdr:row>275</xdr:row>
      <xdr:rowOff>0</xdr:rowOff>
    </xdr:to>
    <xdr:sp macro="" textlink="">
      <xdr:nvSpPr>
        <xdr:cNvPr id="14695" name="Rectangle 18">
          <a:extLst>
            <a:ext uri="{FF2B5EF4-FFF2-40B4-BE49-F238E27FC236}">
              <a16:creationId xmlns:a16="http://schemas.microsoft.com/office/drawing/2014/main" id="{7EFB2467-1193-1C09-BC7B-52DFA5999D73}"/>
            </a:ext>
          </a:extLst>
        </xdr:cNvPr>
        <xdr:cNvSpPr>
          <a:spLocks noChangeArrowheads="1"/>
        </xdr:cNvSpPr>
      </xdr:nvSpPr>
      <xdr:spPr bwMode="auto">
        <a:xfrm>
          <a:off x="5067300" y="482727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866775</xdr:colOff>
      <xdr:row>275</xdr:row>
      <xdr:rowOff>0</xdr:rowOff>
    </xdr:from>
    <xdr:to>
      <xdr:col>3</xdr:col>
      <xdr:colOff>0</xdr:colOff>
      <xdr:row>275</xdr:row>
      <xdr:rowOff>0</xdr:rowOff>
    </xdr:to>
    <xdr:sp macro="" textlink="">
      <xdr:nvSpPr>
        <xdr:cNvPr id="14696" name="Rectangle 19">
          <a:extLst>
            <a:ext uri="{FF2B5EF4-FFF2-40B4-BE49-F238E27FC236}">
              <a16:creationId xmlns:a16="http://schemas.microsoft.com/office/drawing/2014/main" id="{41052E0C-A885-25CE-380C-2877F09FC504}"/>
            </a:ext>
          </a:extLst>
        </xdr:cNvPr>
        <xdr:cNvSpPr>
          <a:spLocks noChangeArrowheads="1"/>
        </xdr:cNvSpPr>
      </xdr:nvSpPr>
      <xdr:spPr bwMode="auto">
        <a:xfrm>
          <a:off x="5067300" y="482727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275</xdr:row>
      <xdr:rowOff>0</xdr:rowOff>
    </xdr:from>
    <xdr:to>
      <xdr:col>3</xdr:col>
      <xdr:colOff>485775</xdr:colOff>
      <xdr:row>275</xdr:row>
      <xdr:rowOff>0</xdr:rowOff>
    </xdr:to>
    <xdr:sp macro="" textlink="">
      <xdr:nvSpPr>
        <xdr:cNvPr id="14697" name="Rectangle 20">
          <a:extLst>
            <a:ext uri="{FF2B5EF4-FFF2-40B4-BE49-F238E27FC236}">
              <a16:creationId xmlns:a16="http://schemas.microsoft.com/office/drawing/2014/main" id="{56BB7E74-2C06-FE91-A0D6-269363A0EAF8}"/>
            </a:ext>
          </a:extLst>
        </xdr:cNvPr>
        <xdr:cNvSpPr>
          <a:spLocks noChangeArrowheads="1"/>
        </xdr:cNvSpPr>
      </xdr:nvSpPr>
      <xdr:spPr bwMode="auto">
        <a:xfrm>
          <a:off x="4343400" y="48272700"/>
          <a:ext cx="12096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866775</xdr:colOff>
      <xdr:row>275</xdr:row>
      <xdr:rowOff>0</xdr:rowOff>
    </xdr:from>
    <xdr:to>
      <xdr:col>4</xdr:col>
      <xdr:colOff>0</xdr:colOff>
      <xdr:row>275</xdr:row>
      <xdr:rowOff>0</xdr:rowOff>
    </xdr:to>
    <xdr:sp macro="" textlink="">
      <xdr:nvSpPr>
        <xdr:cNvPr id="14698" name="Rectangle 21">
          <a:extLst>
            <a:ext uri="{FF2B5EF4-FFF2-40B4-BE49-F238E27FC236}">
              <a16:creationId xmlns:a16="http://schemas.microsoft.com/office/drawing/2014/main" id="{1CE70DF2-6E08-576A-1C38-B2DC3C0AE90A}"/>
            </a:ext>
          </a:extLst>
        </xdr:cNvPr>
        <xdr:cNvSpPr>
          <a:spLocks noChangeArrowheads="1"/>
        </xdr:cNvSpPr>
      </xdr:nvSpPr>
      <xdr:spPr bwMode="auto">
        <a:xfrm>
          <a:off x="5648325" y="482727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275</xdr:row>
      <xdr:rowOff>0</xdr:rowOff>
    </xdr:from>
    <xdr:to>
      <xdr:col>3</xdr:col>
      <xdr:colOff>485775</xdr:colOff>
      <xdr:row>275</xdr:row>
      <xdr:rowOff>0</xdr:rowOff>
    </xdr:to>
    <xdr:sp macro="" textlink="">
      <xdr:nvSpPr>
        <xdr:cNvPr id="14699" name="Rectangle 22">
          <a:extLst>
            <a:ext uri="{FF2B5EF4-FFF2-40B4-BE49-F238E27FC236}">
              <a16:creationId xmlns:a16="http://schemas.microsoft.com/office/drawing/2014/main" id="{BBD2D8EC-005D-8A8B-9DA6-93BBEC81AD69}"/>
            </a:ext>
          </a:extLst>
        </xdr:cNvPr>
        <xdr:cNvSpPr>
          <a:spLocks noChangeArrowheads="1"/>
        </xdr:cNvSpPr>
      </xdr:nvSpPr>
      <xdr:spPr bwMode="auto">
        <a:xfrm>
          <a:off x="4343400" y="48272700"/>
          <a:ext cx="12096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866775</xdr:colOff>
      <xdr:row>275</xdr:row>
      <xdr:rowOff>0</xdr:rowOff>
    </xdr:from>
    <xdr:to>
      <xdr:col>4</xdr:col>
      <xdr:colOff>0</xdr:colOff>
      <xdr:row>275</xdr:row>
      <xdr:rowOff>0</xdr:rowOff>
    </xdr:to>
    <xdr:sp macro="" textlink="">
      <xdr:nvSpPr>
        <xdr:cNvPr id="14700" name="Rectangle 23">
          <a:extLst>
            <a:ext uri="{FF2B5EF4-FFF2-40B4-BE49-F238E27FC236}">
              <a16:creationId xmlns:a16="http://schemas.microsoft.com/office/drawing/2014/main" id="{90D3A2DE-F36B-038E-26B6-4A1487809013}"/>
            </a:ext>
          </a:extLst>
        </xdr:cNvPr>
        <xdr:cNvSpPr>
          <a:spLocks noChangeArrowheads="1"/>
        </xdr:cNvSpPr>
      </xdr:nvSpPr>
      <xdr:spPr bwMode="auto">
        <a:xfrm>
          <a:off x="5648325" y="482727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263</xdr:row>
      <xdr:rowOff>0</xdr:rowOff>
    </xdr:from>
    <xdr:to>
      <xdr:col>1</xdr:col>
      <xdr:colOff>9525</xdr:colOff>
      <xdr:row>263</xdr:row>
      <xdr:rowOff>0</xdr:rowOff>
    </xdr:to>
    <xdr:sp macro="" textlink="">
      <xdr:nvSpPr>
        <xdr:cNvPr id="14701" name="Rectangle 29">
          <a:extLst>
            <a:ext uri="{FF2B5EF4-FFF2-40B4-BE49-F238E27FC236}">
              <a16:creationId xmlns:a16="http://schemas.microsoft.com/office/drawing/2014/main" id="{5CF1FF5F-3D93-8007-6B2B-19B628DC5996}"/>
            </a:ext>
          </a:extLst>
        </xdr:cNvPr>
        <xdr:cNvSpPr>
          <a:spLocks noChangeArrowheads="1"/>
        </xdr:cNvSpPr>
      </xdr:nvSpPr>
      <xdr:spPr bwMode="auto">
        <a:xfrm>
          <a:off x="0" y="46081950"/>
          <a:ext cx="5905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866775</xdr:colOff>
      <xdr:row>263</xdr:row>
      <xdr:rowOff>0</xdr:rowOff>
    </xdr:from>
    <xdr:to>
      <xdr:col>3</xdr:col>
      <xdr:colOff>0</xdr:colOff>
      <xdr:row>263</xdr:row>
      <xdr:rowOff>0</xdr:rowOff>
    </xdr:to>
    <xdr:sp macro="" textlink="">
      <xdr:nvSpPr>
        <xdr:cNvPr id="14702" name="Rectangle 30">
          <a:extLst>
            <a:ext uri="{FF2B5EF4-FFF2-40B4-BE49-F238E27FC236}">
              <a16:creationId xmlns:a16="http://schemas.microsoft.com/office/drawing/2014/main" id="{B38FFD66-B931-8206-2175-627AD39F5E43}"/>
            </a:ext>
          </a:extLst>
        </xdr:cNvPr>
        <xdr:cNvSpPr>
          <a:spLocks noChangeArrowheads="1"/>
        </xdr:cNvSpPr>
      </xdr:nvSpPr>
      <xdr:spPr bwMode="auto">
        <a:xfrm>
          <a:off x="5067300" y="4608195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866775</xdr:colOff>
      <xdr:row>263</xdr:row>
      <xdr:rowOff>0</xdr:rowOff>
    </xdr:from>
    <xdr:to>
      <xdr:col>3</xdr:col>
      <xdr:colOff>0</xdr:colOff>
      <xdr:row>263</xdr:row>
      <xdr:rowOff>0</xdr:rowOff>
    </xdr:to>
    <xdr:sp macro="" textlink="">
      <xdr:nvSpPr>
        <xdr:cNvPr id="14703" name="Rectangle 31">
          <a:extLst>
            <a:ext uri="{FF2B5EF4-FFF2-40B4-BE49-F238E27FC236}">
              <a16:creationId xmlns:a16="http://schemas.microsoft.com/office/drawing/2014/main" id="{2C8D3539-2025-7107-132C-99E250A4C399}"/>
            </a:ext>
          </a:extLst>
        </xdr:cNvPr>
        <xdr:cNvSpPr>
          <a:spLocks noChangeArrowheads="1"/>
        </xdr:cNvSpPr>
      </xdr:nvSpPr>
      <xdr:spPr bwMode="auto">
        <a:xfrm>
          <a:off x="5067300" y="4608195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263</xdr:row>
      <xdr:rowOff>0</xdr:rowOff>
    </xdr:from>
    <xdr:to>
      <xdr:col>3</xdr:col>
      <xdr:colOff>485775</xdr:colOff>
      <xdr:row>263</xdr:row>
      <xdr:rowOff>0</xdr:rowOff>
    </xdr:to>
    <xdr:sp macro="" textlink="">
      <xdr:nvSpPr>
        <xdr:cNvPr id="14704" name="Rectangle 32">
          <a:extLst>
            <a:ext uri="{FF2B5EF4-FFF2-40B4-BE49-F238E27FC236}">
              <a16:creationId xmlns:a16="http://schemas.microsoft.com/office/drawing/2014/main" id="{CF246C4D-747F-C66F-8AFF-BB971FD2A0ED}"/>
            </a:ext>
          </a:extLst>
        </xdr:cNvPr>
        <xdr:cNvSpPr>
          <a:spLocks noChangeArrowheads="1"/>
        </xdr:cNvSpPr>
      </xdr:nvSpPr>
      <xdr:spPr bwMode="auto">
        <a:xfrm>
          <a:off x="4343400" y="46081950"/>
          <a:ext cx="12096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866775</xdr:colOff>
      <xdr:row>263</xdr:row>
      <xdr:rowOff>0</xdr:rowOff>
    </xdr:from>
    <xdr:to>
      <xdr:col>4</xdr:col>
      <xdr:colOff>0</xdr:colOff>
      <xdr:row>263</xdr:row>
      <xdr:rowOff>0</xdr:rowOff>
    </xdr:to>
    <xdr:sp macro="" textlink="">
      <xdr:nvSpPr>
        <xdr:cNvPr id="14705" name="Rectangle 33">
          <a:extLst>
            <a:ext uri="{FF2B5EF4-FFF2-40B4-BE49-F238E27FC236}">
              <a16:creationId xmlns:a16="http://schemas.microsoft.com/office/drawing/2014/main" id="{D443744F-D0E8-CD31-2E38-8BB717352286}"/>
            </a:ext>
          </a:extLst>
        </xdr:cNvPr>
        <xdr:cNvSpPr>
          <a:spLocks noChangeArrowheads="1"/>
        </xdr:cNvSpPr>
      </xdr:nvSpPr>
      <xdr:spPr bwMode="auto">
        <a:xfrm>
          <a:off x="5648325" y="4608195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263</xdr:row>
      <xdr:rowOff>0</xdr:rowOff>
    </xdr:from>
    <xdr:to>
      <xdr:col>3</xdr:col>
      <xdr:colOff>485775</xdr:colOff>
      <xdr:row>263</xdr:row>
      <xdr:rowOff>0</xdr:rowOff>
    </xdr:to>
    <xdr:sp macro="" textlink="">
      <xdr:nvSpPr>
        <xdr:cNvPr id="14706" name="Rectangle 34">
          <a:extLst>
            <a:ext uri="{FF2B5EF4-FFF2-40B4-BE49-F238E27FC236}">
              <a16:creationId xmlns:a16="http://schemas.microsoft.com/office/drawing/2014/main" id="{36725247-322C-BDFD-FE50-373215C63310}"/>
            </a:ext>
          </a:extLst>
        </xdr:cNvPr>
        <xdr:cNvSpPr>
          <a:spLocks noChangeArrowheads="1"/>
        </xdr:cNvSpPr>
      </xdr:nvSpPr>
      <xdr:spPr bwMode="auto">
        <a:xfrm>
          <a:off x="4343400" y="46081950"/>
          <a:ext cx="12096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866775</xdr:colOff>
      <xdr:row>263</xdr:row>
      <xdr:rowOff>0</xdr:rowOff>
    </xdr:from>
    <xdr:to>
      <xdr:col>4</xdr:col>
      <xdr:colOff>0</xdr:colOff>
      <xdr:row>263</xdr:row>
      <xdr:rowOff>0</xdr:rowOff>
    </xdr:to>
    <xdr:sp macro="" textlink="">
      <xdr:nvSpPr>
        <xdr:cNvPr id="14707" name="Rectangle 35">
          <a:extLst>
            <a:ext uri="{FF2B5EF4-FFF2-40B4-BE49-F238E27FC236}">
              <a16:creationId xmlns:a16="http://schemas.microsoft.com/office/drawing/2014/main" id="{F24C81FA-F101-583B-D780-5420A9D6490E}"/>
            </a:ext>
          </a:extLst>
        </xdr:cNvPr>
        <xdr:cNvSpPr>
          <a:spLocks noChangeArrowheads="1"/>
        </xdr:cNvSpPr>
      </xdr:nvSpPr>
      <xdr:spPr bwMode="auto">
        <a:xfrm>
          <a:off x="5648325" y="4608195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514350</xdr:colOff>
      <xdr:row>406</xdr:row>
      <xdr:rowOff>0</xdr:rowOff>
    </xdr:from>
    <xdr:to>
      <xdr:col>1</xdr:col>
      <xdr:colOff>1724025</xdr:colOff>
      <xdr:row>406</xdr:row>
      <xdr:rowOff>0</xdr:rowOff>
    </xdr:to>
    <xdr:pic>
      <xdr:nvPicPr>
        <xdr:cNvPr id="14711" name="Picture 19" descr="http://www.sobralinvicta.com.br/logo1.gif">
          <a:extLst>
            <a:ext uri="{FF2B5EF4-FFF2-40B4-BE49-F238E27FC236}">
              <a16:creationId xmlns:a16="http://schemas.microsoft.com/office/drawing/2014/main" id="{0DEFBA18-2477-5D6F-058C-198E1238D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70523100"/>
          <a:ext cx="1209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514350</xdr:colOff>
      <xdr:row>406</xdr:row>
      <xdr:rowOff>0</xdr:rowOff>
    </xdr:from>
    <xdr:to>
      <xdr:col>1</xdr:col>
      <xdr:colOff>1724025</xdr:colOff>
      <xdr:row>406</xdr:row>
      <xdr:rowOff>0</xdr:rowOff>
    </xdr:to>
    <xdr:pic>
      <xdr:nvPicPr>
        <xdr:cNvPr id="14712" name="Picture 25" descr="http://www.sobralinvicta.com.br/logo1.gif">
          <a:extLst>
            <a:ext uri="{FF2B5EF4-FFF2-40B4-BE49-F238E27FC236}">
              <a16:creationId xmlns:a16="http://schemas.microsoft.com/office/drawing/2014/main" id="{387FE014-FCDC-A29A-A2A4-758BB9707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70523100"/>
          <a:ext cx="1209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1</xdr:col>
      <xdr:colOff>9525</xdr:colOff>
      <xdr:row>406</xdr:row>
      <xdr:rowOff>0</xdr:rowOff>
    </xdr:to>
    <xdr:sp macro="" textlink="">
      <xdr:nvSpPr>
        <xdr:cNvPr id="14714" name="Rectangle 32">
          <a:extLst>
            <a:ext uri="{FF2B5EF4-FFF2-40B4-BE49-F238E27FC236}">
              <a16:creationId xmlns:a16="http://schemas.microsoft.com/office/drawing/2014/main" id="{5BBA9D14-249C-3042-FD09-D340B73665FB}"/>
            </a:ext>
          </a:extLst>
        </xdr:cNvPr>
        <xdr:cNvSpPr>
          <a:spLocks noChangeArrowheads="1"/>
        </xdr:cNvSpPr>
      </xdr:nvSpPr>
      <xdr:spPr bwMode="auto">
        <a:xfrm>
          <a:off x="0" y="70523100"/>
          <a:ext cx="5905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47625</xdr:colOff>
      <xdr:row>406</xdr:row>
      <xdr:rowOff>0</xdr:rowOff>
    </xdr:from>
    <xdr:to>
      <xdr:col>0</xdr:col>
      <xdr:colOff>314325</xdr:colOff>
      <xdr:row>406</xdr:row>
      <xdr:rowOff>0</xdr:rowOff>
    </xdr:to>
    <xdr:sp macro="" textlink="">
      <xdr:nvSpPr>
        <xdr:cNvPr id="14715" name="Rectangle 33">
          <a:extLst>
            <a:ext uri="{FF2B5EF4-FFF2-40B4-BE49-F238E27FC236}">
              <a16:creationId xmlns:a16="http://schemas.microsoft.com/office/drawing/2014/main" id="{76B6198D-0880-3679-F836-1453C6B124B2}"/>
            </a:ext>
          </a:extLst>
        </xdr:cNvPr>
        <xdr:cNvSpPr>
          <a:spLocks noChangeArrowheads="1"/>
        </xdr:cNvSpPr>
      </xdr:nvSpPr>
      <xdr:spPr bwMode="auto">
        <a:xfrm>
          <a:off x="47625" y="70523100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866775</xdr:colOff>
      <xdr:row>406</xdr:row>
      <xdr:rowOff>0</xdr:rowOff>
    </xdr:from>
    <xdr:to>
      <xdr:col>3</xdr:col>
      <xdr:colOff>0</xdr:colOff>
      <xdr:row>406</xdr:row>
      <xdr:rowOff>0</xdr:rowOff>
    </xdr:to>
    <xdr:sp macro="" textlink="">
      <xdr:nvSpPr>
        <xdr:cNvPr id="14716" name="Rectangle 34">
          <a:extLst>
            <a:ext uri="{FF2B5EF4-FFF2-40B4-BE49-F238E27FC236}">
              <a16:creationId xmlns:a16="http://schemas.microsoft.com/office/drawing/2014/main" id="{160AECDB-0051-FE30-683E-E9DE7C5DC45A}"/>
            </a:ext>
          </a:extLst>
        </xdr:cNvPr>
        <xdr:cNvSpPr>
          <a:spLocks noChangeArrowheads="1"/>
        </xdr:cNvSpPr>
      </xdr:nvSpPr>
      <xdr:spPr bwMode="auto">
        <a:xfrm>
          <a:off x="5067300" y="705231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866775</xdr:colOff>
      <xdr:row>406</xdr:row>
      <xdr:rowOff>0</xdr:rowOff>
    </xdr:from>
    <xdr:to>
      <xdr:col>3</xdr:col>
      <xdr:colOff>0</xdr:colOff>
      <xdr:row>406</xdr:row>
      <xdr:rowOff>0</xdr:rowOff>
    </xdr:to>
    <xdr:sp macro="" textlink="">
      <xdr:nvSpPr>
        <xdr:cNvPr id="14717" name="Rectangle 35">
          <a:extLst>
            <a:ext uri="{FF2B5EF4-FFF2-40B4-BE49-F238E27FC236}">
              <a16:creationId xmlns:a16="http://schemas.microsoft.com/office/drawing/2014/main" id="{35B5B871-2725-F6DA-1A2F-0A270E8FACA0}"/>
            </a:ext>
          </a:extLst>
        </xdr:cNvPr>
        <xdr:cNvSpPr>
          <a:spLocks noChangeArrowheads="1"/>
        </xdr:cNvSpPr>
      </xdr:nvSpPr>
      <xdr:spPr bwMode="auto">
        <a:xfrm>
          <a:off x="5067300" y="705231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406</xdr:row>
      <xdr:rowOff>0</xdr:rowOff>
    </xdr:from>
    <xdr:to>
      <xdr:col>3</xdr:col>
      <xdr:colOff>485775</xdr:colOff>
      <xdr:row>406</xdr:row>
      <xdr:rowOff>0</xdr:rowOff>
    </xdr:to>
    <xdr:sp macro="" textlink="">
      <xdr:nvSpPr>
        <xdr:cNvPr id="14718" name="Rectangle 36">
          <a:extLst>
            <a:ext uri="{FF2B5EF4-FFF2-40B4-BE49-F238E27FC236}">
              <a16:creationId xmlns:a16="http://schemas.microsoft.com/office/drawing/2014/main" id="{0B02680D-B8E6-E29F-8DA5-D9077F908623}"/>
            </a:ext>
          </a:extLst>
        </xdr:cNvPr>
        <xdr:cNvSpPr>
          <a:spLocks noChangeArrowheads="1"/>
        </xdr:cNvSpPr>
      </xdr:nvSpPr>
      <xdr:spPr bwMode="auto">
        <a:xfrm>
          <a:off x="4343400" y="70523100"/>
          <a:ext cx="12096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406</xdr:row>
      <xdr:rowOff>0</xdr:rowOff>
    </xdr:from>
    <xdr:to>
      <xdr:col>3</xdr:col>
      <xdr:colOff>485775</xdr:colOff>
      <xdr:row>406</xdr:row>
      <xdr:rowOff>0</xdr:rowOff>
    </xdr:to>
    <xdr:sp macro="" textlink="">
      <xdr:nvSpPr>
        <xdr:cNvPr id="14719" name="Rectangle 38">
          <a:extLst>
            <a:ext uri="{FF2B5EF4-FFF2-40B4-BE49-F238E27FC236}">
              <a16:creationId xmlns:a16="http://schemas.microsoft.com/office/drawing/2014/main" id="{64C6836D-6FFE-77BA-5A0B-0A2B12FADD97}"/>
            </a:ext>
          </a:extLst>
        </xdr:cNvPr>
        <xdr:cNvSpPr>
          <a:spLocks noChangeArrowheads="1"/>
        </xdr:cNvSpPr>
      </xdr:nvSpPr>
      <xdr:spPr bwMode="auto">
        <a:xfrm>
          <a:off x="4343400" y="70523100"/>
          <a:ext cx="12096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866775</xdr:colOff>
      <xdr:row>398</xdr:row>
      <xdr:rowOff>0</xdr:rowOff>
    </xdr:from>
    <xdr:to>
      <xdr:col>4</xdr:col>
      <xdr:colOff>0</xdr:colOff>
      <xdr:row>398</xdr:row>
      <xdr:rowOff>0</xdr:rowOff>
    </xdr:to>
    <xdr:sp macro="" textlink="">
      <xdr:nvSpPr>
        <xdr:cNvPr id="14720" name="Rectangle 48">
          <a:extLst>
            <a:ext uri="{FF2B5EF4-FFF2-40B4-BE49-F238E27FC236}">
              <a16:creationId xmlns:a16="http://schemas.microsoft.com/office/drawing/2014/main" id="{7C1E4909-4379-B54D-B87B-6DF51E15810C}"/>
            </a:ext>
          </a:extLst>
        </xdr:cNvPr>
        <xdr:cNvSpPr>
          <a:spLocks noChangeArrowheads="1"/>
        </xdr:cNvSpPr>
      </xdr:nvSpPr>
      <xdr:spPr bwMode="auto">
        <a:xfrm>
          <a:off x="5648325" y="6901815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866775</xdr:colOff>
      <xdr:row>398</xdr:row>
      <xdr:rowOff>0</xdr:rowOff>
    </xdr:from>
    <xdr:to>
      <xdr:col>4</xdr:col>
      <xdr:colOff>0</xdr:colOff>
      <xdr:row>398</xdr:row>
      <xdr:rowOff>0</xdr:rowOff>
    </xdr:to>
    <xdr:sp macro="" textlink="">
      <xdr:nvSpPr>
        <xdr:cNvPr id="14721" name="Rectangle 50">
          <a:extLst>
            <a:ext uri="{FF2B5EF4-FFF2-40B4-BE49-F238E27FC236}">
              <a16:creationId xmlns:a16="http://schemas.microsoft.com/office/drawing/2014/main" id="{FEB5C49B-05A2-1FC1-49CF-8F45EE53DB51}"/>
            </a:ext>
          </a:extLst>
        </xdr:cNvPr>
        <xdr:cNvSpPr>
          <a:spLocks noChangeArrowheads="1"/>
        </xdr:cNvSpPr>
      </xdr:nvSpPr>
      <xdr:spPr bwMode="auto">
        <a:xfrm>
          <a:off x="5648325" y="6901815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866775</xdr:colOff>
      <xdr:row>390</xdr:row>
      <xdr:rowOff>0</xdr:rowOff>
    </xdr:from>
    <xdr:to>
      <xdr:col>4</xdr:col>
      <xdr:colOff>0</xdr:colOff>
      <xdr:row>390</xdr:row>
      <xdr:rowOff>0</xdr:rowOff>
    </xdr:to>
    <xdr:sp macro="" textlink="">
      <xdr:nvSpPr>
        <xdr:cNvPr id="14722" name="Rectangle 55">
          <a:extLst>
            <a:ext uri="{FF2B5EF4-FFF2-40B4-BE49-F238E27FC236}">
              <a16:creationId xmlns:a16="http://schemas.microsoft.com/office/drawing/2014/main" id="{B5869075-D9B9-1926-1C4C-579CE8C1068C}"/>
            </a:ext>
          </a:extLst>
        </xdr:cNvPr>
        <xdr:cNvSpPr>
          <a:spLocks noChangeArrowheads="1"/>
        </xdr:cNvSpPr>
      </xdr:nvSpPr>
      <xdr:spPr bwMode="auto">
        <a:xfrm>
          <a:off x="5648325" y="676275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866775</xdr:colOff>
      <xdr:row>390</xdr:row>
      <xdr:rowOff>0</xdr:rowOff>
    </xdr:from>
    <xdr:to>
      <xdr:col>4</xdr:col>
      <xdr:colOff>0</xdr:colOff>
      <xdr:row>390</xdr:row>
      <xdr:rowOff>0</xdr:rowOff>
    </xdr:to>
    <xdr:sp macro="" textlink="">
      <xdr:nvSpPr>
        <xdr:cNvPr id="14723" name="Rectangle 57">
          <a:extLst>
            <a:ext uri="{FF2B5EF4-FFF2-40B4-BE49-F238E27FC236}">
              <a16:creationId xmlns:a16="http://schemas.microsoft.com/office/drawing/2014/main" id="{D9F9B2C6-457C-0C4B-5497-690259C4DCD9}"/>
            </a:ext>
          </a:extLst>
        </xdr:cNvPr>
        <xdr:cNvSpPr>
          <a:spLocks noChangeArrowheads="1"/>
        </xdr:cNvSpPr>
      </xdr:nvSpPr>
      <xdr:spPr bwMode="auto">
        <a:xfrm>
          <a:off x="5648325" y="676275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194</xdr:row>
      <xdr:rowOff>0</xdr:rowOff>
    </xdr:from>
    <xdr:to>
      <xdr:col>1</xdr:col>
      <xdr:colOff>9525</xdr:colOff>
      <xdr:row>194</xdr:row>
      <xdr:rowOff>0</xdr:rowOff>
    </xdr:to>
    <xdr:sp macro="" textlink="">
      <xdr:nvSpPr>
        <xdr:cNvPr id="2" name="Rectangle 29">
          <a:extLst>
            <a:ext uri="{FF2B5EF4-FFF2-40B4-BE49-F238E27FC236}">
              <a16:creationId xmlns:a16="http://schemas.microsoft.com/office/drawing/2014/main" id="{0C2F36EE-B12C-4E72-A1C6-74944592A9C2}"/>
            </a:ext>
          </a:extLst>
        </xdr:cNvPr>
        <xdr:cNvSpPr>
          <a:spLocks noChangeArrowheads="1"/>
        </xdr:cNvSpPr>
      </xdr:nvSpPr>
      <xdr:spPr bwMode="auto">
        <a:xfrm>
          <a:off x="0" y="37223700"/>
          <a:ext cx="8286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857250</xdr:colOff>
      <xdr:row>194</xdr:row>
      <xdr:rowOff>0</xdr:rowOff>
    </xdr:from>
    <xdr:to>
      <xdr:col>3</xdr:col>
      <xdr:colOff>0</xdr:colOff>
      <xdr:row>194</xdr:row>
      <xdr:rowOff>0</xdr:rowOff>
    </xdr:to>
    <xdr:sp macro="" textlink="">
      <xdr:nvSpPr>
        <xdr:cNvPr id="3" name="Rectangle 30">
          <a:extLst>
            <a:ext uri="{FF2B5EF4-FFF2-40B4-BE49-F238E27FC236}">
              <a16:creationId xmlns:a16="http://schemas.microsoft.com/office/drawing/2014/main" id="{877DF8B0-3C85-4513-9318-1E6FFF66DC6E}"/>
            </a:ext>
          </a:extLst>
        </xdr:cNvPr>
        <xdr:cNvSpPr>
          <a:spLocks noChangeArrowheads="1"/>
        </xdr:cNvSpPr>
      </xdr:nvSpPr>
      <xdr:spPr bwMode="auto">
        <a:xfrm>
          <a:off x="5410200" y="372237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857250</xdr:colOff>
      <xdr:row>194</xdr:row>
      <xdr:rowOff>0</xdr:rowOff>
    </xdr:from>
    <xdr:to>
      <xdr:col>3</xdr:col>
      <xdr:colOff>0</xdr:colOff>
      <xdr:row>194</xdr:row>
      <xdr:rowOff>0</xdr:rowOff>
    </xdr:to>
    <xdr:sp macro="" textlink="">
      <xdr:nvSpPr>
        <xdr:cNvPr id="4" name="Rectangle 31">
          <a:extLst>
            <a:ext uri="{FF2B5EF4-FFF2-40B4-BE49-F238E27FC236}">
              <a16:creationId xmlns:a16="http://schemas.microsoft.com/office/drawing/2014/main" id="{AB12E896-732B-4269-A536-D99E621A5C8B}"/>
            </a:ext>
          </a:extLst>
        </xdr:cNvPr>
        <xdr:cNvSpPr>
          <a:spLocks noChangeArrowheads="1"/>
        </xdr:cNvSpPr>
      </xdr:nvSpPr>
      <xdr:spPr bwMode="auto">
        <a:xfrm>
          <a:off x="5410200" y="372237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194</xdr:row>
      <xdr:rowOff>0</xdr:rowOff>
    </xdr:from>
    <xdr:to>
      <xdr:col>3</xdr:col>
      <xdr:colOff>485775</xdr:colOff>
      <xdr:row>194</xdr:row>
      <xdr:rowOff>0</xdr:rowOff>
    </xdr:to>
    <xdr:sp macro="" textlink="">
      <xdr:nvSpPr>
        <xdr:cNvPr id="5" name="Rectangle 32">
          <a:extLst>
            <a:ext uri="{FF2B5EF4-FFF2-40B4-BE49-F238E27FC236}">
              <a16:creationId xmlns:a16="http://schemas.microsoft.com/office/drawing/2014/main" id="{CD6070A9-2396-4271-97B8-2E8131000963}"/>
            </a:ext>
          </a:extLst>
        </xdr:cNvPr>
        <xdr:cNvSpPr>
          <a:spLocks noChangeArrowheads="1"/>
        </xdr:cNvSpPr>
      </xdr:nvSpPr>
      <xdr:spPr bwMode="auto">
        <a:xfrm>
          <a:off x="4581525" y="37223700"/>
          <a:ext cx="13144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866775</xdr:colOff>
      <xdr:row>194</xdr:row>
      <xdr:rowOff>0</xdr:rowOff>
    </xdr:from>
    <xdr:to>
      <xdr:col>4</xdr:col>
      <xdr:colOff>0</xdr:colOff>
      <xdr:row>194</xdr:row>
      <xdr:rowOff>0</xdr:rowOff>
    </xdr:to>
    <xdr:sp macro="" textlink="">
      <xdr:nvSpPr>
        <xdr:cNvPr id="6" name="Rectangle 33">
          <a:extLst>
            <a:ext uri="{FF2B5EF4-FFF2-40B4-BE49-F238E27FC236}">
              <a16:creationId xmlns:a16="http://schemas.microsoft.com/office/drawing/2014/main" id="{5EB62486-5CC9-4921-A11A-2E3B1E5AC293}"/>
            </a:ext>
          </a:extLst>
        </xdr:cNvPr>
        <xdr:cNvSpPr>
          <a:spLocks noChangeArrowheads="1"/>
        </xdr:cNvSpPr>
      </xdr:nvSpPr>
      <xdr:spPr bwMode="auto">
        <a:xfrm>
          <a:off x="5991225" y="372237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194</xdr:row>
      <xdr:rowOff>0</xdr:rowOff>
    </xdr:from>
    <xdr:to>
      <xdr:col>3</xdr:col>
      <xdr:colOff>485775</xdr:colOff>
      <xdr:row>194</xdr:row>
      <xdr:rowOff>0</xdr:rowOff>
    </xdr:to>
    <xdr:sp macro="" textlink="">
      <xdr:nvSpPr>
        <xdr:cNvPr id="7" name="Rectangle 34">
          <a:extLst>
            <a:ext uri="{FF2B5EF4-FFF2-40B4-BE49-F238E27FC236}">
              <a16:creationId xmlns:a16="http://schemas.microsoft.com/office/drawing/2014/main" id="{C99F288A-904C-49EA-8072-A9E5457C38C8}"/>
            </a:ext>
          </a:extLst>
        </xdr:cNvPr>
        <xdr:cNvSpPr>
          <a:spLocks noChangeArrowheads="1"/>
        </xdr:cNvSpPr>
      </xdr:nvSpPr>
      <xdr:spPr bwMode="auto">
        <a:xfrm>
          <a:off x="4581525" y="37223700"/>
          <a:ext cx="13144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866775</xdr:colOff>
      <xdr:row>194</xdr:row>
      <xdr:rowOff>0</xdr:rowOff>
    </xdr:from>
    <xdr:to>
      <xdr:col>4</xdr:col>
      <xdr:colOff>0</xdr:colOff>
      <xdr:row>194</xdr:row>
      <xdr:rowOff>0</xdr:rowOff>
    </xdr:to>
    <xdr:sp macro="" textlink="">
      <xdr:nvSpPr>
        <xdr:cNvPr id="8" name="Rectangle 35">
          <a:extLst>
            <a:ext uri="{FF2B5EF4-FFF2-40B4-BE49-F238E27FC236}">
              <a16:creationId xmlns:a16="http://schemas.microsoft.com/office/drawing/2014/main" id="{D315D75E-76E5-4151-AE9C-ED5C2E89D63A}"/>
            </a:ext>
          </a:extLst>
        </xdr:cNvPr>
        <xdr:cNvSpPr>
          <a:spLocks noChangeArrowheads="1"/>
        </xdr:cNvSpPr>
      </xdr:nvSpPr>
      <xdr:spPr bwMode="auto">
        <a:xfrm>
          <a:off x="5991225" y="3722370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514350</xdr:colOff>
      <xdr:row>307</xdr:row>
      <xdr:rowOff>0</xdr:rowOff>
    </xdr:from>
    <xdr:to>
      <xdr:col>1</xdr:col>
      <xdr:colOff>1724025</xdr:colOff>
      <xdr:row>307</xdr:row>
      <xdr:rowOff>0</xdr:rowOff>
    </xdr:to>
    <xdr:pic>
      <xdr:nvPicPr>
        <xdr:cNvPr id="9" name="Picture 19" descr="http://www.sobralinvicta.com.br/logo1.gif">
          <a:extLst>
            <a:ext uri="{FF2B5EF4-FFF2-40B4-BE49-F238E27FC236}">
              <a16:creationId xmlns:a16="http://schemas.microsoft.com/office/drawing/2014/main" id="{9BFB293D-5B7E-4FF4-857F-1C0C5BAAA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60055125"/>
          <a:ext cx="1209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1</xdr:col>
      <xdr:colOff>9525</xdr:colOff>
      <xdr:row>307</xdr:row>
      <xdr:rowOff>0</xdr:rowOff>
    </xdr:to>
    <xdr:sp macro="" textlink="">
      <xdr:nvSpPr>
        <xdr:cNvPr id="10" name="Rectangle 32">
          <a:extLst>
            <a:ext uri="{FF2B5EF4-FFF2-40B4-BE49-F238E27FC236}">
              <a16:creationId xmlns:a16="http://schemas.microsoft.com/office/drawing/2014/main" id="{D94777EB-02B8-44E4-A2D9-7B61FCAD90D1}"/>
            </a:ext>
          </a:extLst>
        </xdr:cNvPr>
        <xdr:cNvSpPr>
          <a:spLocks noChangeArrowheads="1"/>
        </xdr:cNvSpPr>
      </xdr:nvSpPr>
      <xdr:spPr bwMode="auto">
        <a:xfrm>
          <a:off x="0" y="60055125"/>
          <a:ext cx="8286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47625</xdr:colOff>
      <xdr:row>307</xdr:row>
      <xdr:rowOff>0</xdr:rowOff>
    </xdr:from>
    <xdr:to>
      <xdr:col>0</xdr:col>
      <xdr:colOff>314325</xdr:colOff>
      <xdr:row>307</xdr:row>
      <xdr:rowOff>0</xdr:rowOff>
    </xdr:to>
    <xdr:sp macro="" textlink="">
      <xdr:nvSpPr>
        <xdr:cNvPr id="11" name="Rectangle 33">
          <a:extLst>
            <a:ext uri="{FF2B5EF4-FFF2-40B4-BE49-F238E27FC236}">
              <a16:creationId xmlns:a16="http://schemas.microsoft.com/office/drawing/2014/main" id="{7445D274-7289-45A9-A388-E4BFB2964B11}"/>
            </a:ext>
          </a:extLst>
        </xdr:cNvPr>
        <xdr:cNvSpPr>
          <a:spLocks noChangeArrowheads="1"/>
        </xdr:cNvSpPr>
      </xdr:nvSpPr>
      <xdr:spPr bwMode="auto">
        <a:xfrm>
          <a:off x="47625" y="60055125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857250</xdr:colOff>
      <xdr:row>307</xdr:row>
      <xdr:rowOff>0</xdr:rowOff>
    </xdr:from>
    <xdr:to>
      <xdr:col>3</xdr:col>
      <xdr:colOff>0</xdr:colOff>
      <xdr:row>307</xdr:row>
      <xdr:rowOff>0</xdr:rowOff>
    </xdr:to>
    <xdr:sp macro="" textlink="">
      <xdr:nvSpPr>
        <xdr:cNvPr id="12" name="Rectangle 34">
          <a:extLst>
            <a:ext uri="{FF2B5EF4-FFF2-40B4-BE49-F238E27FC236}">
              <a16:creationId xmlns:a16="http://schemas.microsoft.com/office/drawing/2014/main" id="{8897BFF3-008D-4A1C-83A9-3BF5C6B16092}"/>
            </a:ext>
          </a:extLst>
        </xdr:cNvPr>
        <xdr:cNvSpPr>
          <a:spLocks noChangeArrowheads="1"/>
        </xdr:cNvSpPr>
      </xdr:nvSpPr>
      <xdr:spPr bwMode="auto">
        <a:xfrm>
          <a:off x="5410200" y="6005512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857250</xdr:colOff>
      <xdr:row>307</xdr:row>
      <xdr:rowOff>0</xdr:rowOff>
    </xdr:from>
    <xdr:to>
      <xdr:col>3</xdr:col>
      <xdr:colOff>0</xdr:colOff>
      <xdr:row>307</xdr:row>
      <xdr:rowOff>0</xdr:rowOff>
    </xdr:to>
    <xdr:sp macro="" textlink="">
      <xdr:nvSpPr>
        <xdr:cNvPr id="13" name="Rectangle 35">
          <a:extLst>
            <a:ext uri="{FF2B5EF4-FFF2-40B4-BE49-F238E27FC236}">
              <a16:creationId xmlns:a16="http://schemas.microsoft.com/office/drawing/2014/main" id="{0AB494D0-79B1-4318-ACFF-A36BF7D3ABDF}"/>
            </a:ext>
          </a:extLst>
        </xdr:cNvPr>
        <xdr:cNvSpPr>
          <a:spLocks noChangeArrowheads="1"/>
        </xdr:cNvSpPr>
      </xdr:nvSpPr>
      <xdr:spPr bwMode="auto">
        <a:xfrm>
          <a:off x="5410200" y="6005512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307</xdr:row>
      <xdr:rowOff>0</xdr:rowOff>
    </xdr:from>
    <xdr:to>
      <xdr:col>3</xdr:col>
      <xdr:colOff>485775</xdr:colOff>
      <xdr:row>307</xdr:row>
      <xdr:rowOff>0</xdr:rowOff>
    </xdr:to>
    <xdr:sp macro="" textlink="">
      <xdr:nvSpPr>
        <xdr:cNvPr id="14" name="Rectangle 36">
          <a:extLst>
            <a:ext uri="{FF2B5EF4-FFF2-40B4-BE49-F238E27FC236}">
              <a16:creationId xmlns:a16="http://schemas.microsoft.com/office/drawing/2014/main" id="{8BFBF13F-56EC-421B-9FD8-C82D37E42304}"/>
            </a:ext>
          </a:extLst>
        </xdr:cNvPr>
        <xdr:cNvSpPr>
          <a:spLocks noChangeArrowheads="1"/>
        </xdr:cNvSpPr>
      </xdr:nvSpPr>
      <xdr:spPr bwMode="auto">
        <a:xfrm>
          <a:off x="4581525" y="60055125"/>
          <a:ext cx="13144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866775</xdr:colOff>
      <xdr:row>275</xdr:row>
      <xdr:rowOff>0</xdr:rowOff>
    </xdr:from>
    <xdr:to>
      <xdr:col>4</xdr:col>
      <xdr:colOff>0</xdr:colOff>
      <xdr:row>275</xdr:row>
      <xdr:rowOff>0</xdr:rowOff>
    </xdr:to>
    <xdr:sp macro="" textlink="">
      <xdr:nvSpPr>
        <xdr:cNvPr id="15" name="Rectangle 37">
          <a:extLst>
            <a:ext uri="{FF2B5EF4-FFF2-40B4-BE49-F238E27FC236}">
              <a16:creationId xmlns:a16="http://schemas.microsoft.com/office/drawing/2014/main" id="{95808763-9FB2-4901-9A96-53D572631C6F}"/>
            </a:ext>
          </a:extLst>
        </xdr:cNvPr>
        <xdr:cNvSpPr>
          <a:spLocks noChangeArrowheads="1"/>
        </xdr:cNvSpPr>
      </xdr:nvSpPr>
      <xdr:spPr bwMode="auto">
        <a:xfrm>
          <a:off x="5991225" y="5395912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307</xdr:row>
      <xdr:rowOff>0</xdr:rowOff>
    </xdr:from>
    <xdr:to>
      <xdr:col>3</xdr:col>
      <xdr:colOff>485775</xdr:colOff>
      <xdr:row>307</xdr:row>
      <xdr:rowOff>0</xdr:rowOff>
    </xdr:to>
    <xdr:sp macro="" textlink="">
      <xdr:nvSpPr>
        <xdr:cNvPr id="16" name="Rectangle 38">
          <a:extLst>
            <a:ext uri="{FF2B5EF4-FFF2-40B4-BE49-F238E27FC236}">
              <a16:creationId xmlns:a16="http://schemas.microsoft.com/office/drawing/2014/main" id="{A3A8D3BA-C64A-4367-8C07-407D73EA3A58}"/>
            </a:ext>
          </a:extLst>
        </xdr:cNvPr>
        <xdr:cNvSpPr>
          <a:spLocks noChangeArrowheads="1"/>
        </xdr:cNvSpPr>
      </xdr:nvSpPr>
      <xdr:spPr bwMode="auto">
        <a:xfrm>
          <a:off x="4581525" y="60055125"/>
          <a:ext cx="13144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866775</xdr:colOff>
      <xdr:row>275</xdr:row>
      <xdr:rowOff>0</xdr:rowOff>
    </xdr:from>
    <xdr:to>
      <xdr:col>4</xdr:col>
      <xdr:colOff>0</xdr:colOff>
      <xdr:row>275</xdr:row>
      <xdr:rowOff>0</xdr:rowOff>
    </xdr:to>
    <xdr:sp macro="" textlink="">
      <xdr:nvSpPr>
        <xdr:cNvPr id="17" name="Rectangle 39">
          <a:extLst>
            <a:ext uri="{FF2B5EF4-FFF2-40B4-BE49-F238E27FC236}">
              <a16:creationId xmlns:a16="http://schemas.microsoft.com/office/drawing/2014/main" id="{13827633-17F9-4C07-AFC9-799CB7DDB079}"/>
            </a:ext>
          </a:extLst>
        </xdr:cNvPr>
        <xdr:cNvSpPr>
          <a:spLocks noChangeArrowheads="1"/>
        </xdr:cNvSpPr>
      </xdr:nvSpPr>
      <xdr:spPr bwMode="auto">
        <a:xfrm>
          <a:off x="5991225" y="5395912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866775</xdr:colOff>
      <xdr:row>289</xdr:row>
      <xdr:rowOff>0</xdr:rowOff>
    </xdr:from>
    <xdr:to>
      <xdr:col>4</xdr:col>
      <xdr:colOff>0</xdr:colOff>
      <xdr:row>289</xdr:row>
      <xdr:rowOff>0</xdr:rowOff>
    </xdr:to>
    <xdr:sp macro="" textlink="">
      <xdr:nvSpPr>
        <xdr:cNvPr id="18" name="Rectangle 48">
          <a:extLst>
            <a:ext uri="{FF2B5EF4-FFF2-40B4-BE49-F238E27FC236}">
              <a16:creationId xmlns:a16="http://schemas.microsoft.com/office/drawing/2014/main" id="{0F289CF9-8E72-4F91-8734-1AC69D9035A1}"/>
            </a:ext>
          </a:extLst>
        </xdr:cNvPr>
        <xdr:cNvSpPr>
          <a:spLocks noChangeArrowheads="1"/>
        </xdr:cNvSpPr>
      </xdr:nvSpPr>
      <xdr:spPr bwMode="auto">
        <a:xfrm>
          <a:off x="5991225" y="5662612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866775</xdr:colOff>
      <xdr:row>289</xdr:row>
      <xdr:rowOff>0</xdr:rowOff>
    </xdr:from>
    <xdr:to>
      <xdr:col>4</xdr:col>
      <xdr:colOff>0</xdr:colOff>
      <xdr:row>289</xdr:row>
      <xdr:rowOff>0</xdr:rowOff>
    </xdr:to>
    <xdr:sp macro="" textlink="">
      <xdr:nvSpPr>
        <xdr:cNvPr id="19" name="Rectangle 50">
          <a:extLst>
            <a:ext uri="{FF2B5EF4-FFF2-40B4-BE49-F238E27FC236}">
              <a16:creationId xmlns:a16="http://schemas.microsoft.com/office/drawing/2014/main" id="{BB266903-B1C0-4F48-9AEC-94ECF3830794}"/>
            </a:ext>
          </a:extLst>
        </xdr:cNvPr>
        <xdr:cNvSpPr>
          <a:spLocks noChangeArrowheads="1"/>
        </xdr:cNvSpPr>
      </xdr:nvSpPr>
      <xdr:spPr bwMode="auto">
        <a:xfrm>
          <a:off x="5991225" y="5662612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866775</xdr:colOff>
      <xdr:row>287</xdr:row>
      <xdr:rowOff>0</xdr:rowOff>
    </xdr:from>
    <xdr:to>
      <xdr:col>4</xdr:col>
      <xdr:colOff>0</xdr:colOff>
      <xdr:row>288</xdr:row>
      <xdr:rowOff>0</xdr:rowOff>
    </xdr:to>
    <xdr:sp macro="" textlink="">
      <xdr:nvSpPr>
        <xdr:cNvPr id="20" name="Rectangle 55">
          <a:extLst>
            <a:ext uri="{FF2B5EF4-FFF2-40B4-BE49-F238E27FC236}">
              <a16:creationId xmlns:a16="http://schemas.microsoft.com/office/drawing/2014/main" id="{E3F59C1D-4937-49E3-B9A9-A1E6A3AD93EB}"/>
            </a:ext>
          </a:extLst>
        </xdr:cNvPr>
        <xdr:cNvSpPr>
          <a:spLocks noChangeArrowheads="1"/>
        </xdr:cNvSpPr>
      </xdr:nvSpPr>
      <xdr:spPr bwMode="auto">
        <a:xfrm>
          <a:off x="5991225" y="56245125"/>
          <a:ext cx="0" cy="1905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866775</xdr:colOff>
      <xdr:row>287</xdr:row>
      <xdr:rowOff>0</xdr:rowOff>
    </xdr:from>
    <xdr:to>
      <xdr:col>4</xdr:col>
      <xdr:colOff>0</xdr:colOff>
      <xdr:row>288</xdr:row>
      <xdr:rowOff>0</xdr:rowOff>
    </xdr:to>
    <xdr:sp macro="" textlink="">
      <xdr:nvSpPr>
        <xdr:cNvPr id="21" name="Rectangle 57">
          <a:extLst>
            <a:ext uri="{FF2B5EF4-FFF2-40B4-BE49-F238E27FC236}">
              <a16:creationId xmlns:a16="http://schemas.microsoft.com/office/drawing/2014/main" id="{A7730D0D-9AF8-4A1A-9542-FCE1815A91AF}"/>
            </a:ext>
          </a:extLst>
        </xdr:cNvPr>
        <xdr:cNvSpPr>
          <a:spLocks noChangeArrowheads="1"/>
        </xdr:cNvSpPr>
      </xdr:nvSpPr>
      <xdr:spPr bwMode="auto">
        <a:xfrm>
          <a:off x="5991225" y="56245125"/>
          <a:ext cx="0" cy="1905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1162050</xdr:colOff>
      <xdr:row>527</xdr:row>
      <xdr:rowOff>0</xdr:rowOff>
    </xdr:from>
    <xdr:to>
      <xdr:col>1</xdr:col>
      <xdr:colOff>19050</xdr:colOff>
      <xdr:row>527</xdr:row>
      <xdr:rowOff>129540</xdr:rowOff>
    </xdr:to>
    <xdr:pic>
      <xdr:nvPicPr>
        <xdr:cNvPr id="22" name="Bild 1558">
          <a:extLst>
            <a:ext uri="{FF2B5EF4-FFF2-40B4-BE49-F238E27FC236}">
              <a16:creationId xmlns:a16="http://schemas.microsoft.com/office/drawing/2014/main" id="{76F70667-B040-4BE1-8C15-8908A5733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01888925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1219</xdr:row>
      <xdr:rowOff>0</xdr:rowOff>
    </xdr:from>
    <xdr:to>
      <xdr:col>1</xdr:col>
      <xdr:colOff>304800</xdr:colOff>
      <xdr:row>1221</xdr:row>
      <xdr:rowOff>91440</xdr:rowOff>
    </xdr:to>
    <xdr:sp macro="" textlink="">
      <xdr:nvSpPr>
        <xdr:cNvPr id="23" name="AutoShape 1025" descr="Resultado de imagen para leifheit 81162">
          <a:extLst>
            <a:ext uri="{FF2B5EF4-FFF2-40B4-BE49-F238E27FC236}">
              <a16:creationId xmlns:a16="http://schemas.microsoft.com/office/drawing/2014/main" id="{9F4E0124-CDF3-445D-AF1E-9AA951DB5E04}"/>
            </a:ext>
          </a:extLst>
        </xdr:cNvPr>
        <xdr:cNvSpPr>
          <a:spLocks noChangeAspect="1" noChangeArrowheads="1"/>
        </xdr:cNvSpPr>
      </xdr:nvSpPr>
      <xdr:spPr bwMode="auto">
        <a:xfrm>
          <a:off x="819150" y="233705400"/>
          <a:ext cx="30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1158</xdr:row>
      <xdr:rowOff>0</xdr:rowOff>
    </xdr:from>
    <xdr:to>
      <xdr:col>1</xdr:col>
      <xdr:colOff>304800</xdr:colOff>
      <xdr:row>1158</xdr:row>
      <xdr:rowOff>57150</xdr:rowOff>
    </xdr:to>
    <xdr:sp macro="" textlink="">
      <xdr:nvSpPr>
        <xdr:cNvPr id="24" name="Autoforma 1038" descr="Resultado de imagen para 66210 Soehnle">
          <a:extLst>
            <a:ext uri="{FF2B5EF4-FFF2-40B4-BE49-F238E27FC236}">
              <a16:creationId xmlns:a16="http://schemas.microsoft.com/office/drawing/2014/main" id="{7B5841C2-3F55-41EE-B864-370BA572C99A}"/>
            </a:ext>
          </a:extLst>
        </xdr:cNvPr>
        <xdr:cNvSpPr>
          <a:spLocks noChangeAspect="1" noChangeArrowheads="1"/>
        </xdr:cNvSpPr>
      </xdr:nvSpPr>
      <xdr:spPr bwMode="auto">
        <a:xfrm>
          <a:off x="819150" y="222084900"/>
          <a:ext cx="3048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912</xdr:row>
      <xdr:rowOff>0</xdr:rowOff>
    </xdr:from>
    <xdr:to>
      <xdr:col>1</xdr:col>
      <xdr:colOff>304800</xdr:colOff>
      <xdr:row>913</xdr:row>
      <xdr:rowOff>135255</xdr:rowOff>
    </xdr:to>
    <xdr:sp macro="" textlink="">
      <xdr:nvSpPr>
        <xdr:cNvPr id="25" name="Autoforma 1038" descr="Resultado de imagen para 66210 Soehnle">
          <a:extLst>
            <a:ext uri="{FF2B5EF4-FFF2-40B4-BE49-F238E27FC236}">
              <a16:creationId xmlns:a16="http://schemas.microsoft.com/office/drawing/2014/main" id="{AD225143-5F2E-4247-8FC3-3F6A400AB6AD}"/>
            </a:ext>
          </a:extLst>
        </xdr:cNvPr>
        <xdr:cNvSpPr>
          <a:spLocks noChangeAspect="1" noChangeArrowheads="1"/>
        </xdr:cNvSpPr>
      </xdr:nvSpPr>
      <xdr:spPr bwMode="auto">
        <a:xfrm>
          <a:off x="819150" y="1752219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563</xdr:row>
      <xdr:rowOff>0</xdr:rowOff>
    </xdr:from>
    <xdr:to>
      <xdr:col>1</xdr:col>
      <xdr:colOff>304800</xdr:colOff>
      <xdr:row>564</xdr:row>
      <xdr:rowOff>135255</xdr:rowOff>
    </xdr:to>
    <xdr:sp macro="" textlink="">
      <xdr:nvSpPr>
        <xdr:cNvPr id="26" name="Autoforma 1038" descr="Resultado de imagen para 66210 Soehnle">
          <a:extLst>
            <a:ext uri="{FF2B5EF4-FFF2-40B4-BE49-F238E27FC236}">
              <a16:creationId xmlns:a16="http://schemas.microsoft.com/office/drawing/2014/main" id="{566E0F52-58C6-4EE2-9335-CBF73902F030}"/>
            </a:ext>
          </a:extLst>
        </xdr:cNvPr>
        <xdr:cNvSpPr>
          <a:spLocks noChangeAspect="1" noChangeArrowheads="1"/>
        </xdr:cNvSpPr>
      </xdr:nvSpPr>
      <xdr:spPr bwMode="auto">
        <a:xfrm>
          <a:off x="819150" y="108746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563</xdr:row>
      <xdr:rowOff>0</xdr:rowOff>
    </xdr:from>
    <xdr:to>
      <xdr:col>1</xdr:col>
      <xdr:colOff>304800</xdr:colOff>
      <xdr:row>564</xdr:row>
      <xdr:rowOff>135255</xdr:rowOff>
    </xdr:to>
    <xdr:sp macro="" textlink="">
      <xdr:nvSpPr>
        <xdr:cNvPr id="27" name="AutoShape 1025" descr="Resultado de imagen para leifheit 81162">
          <a:extLst>
            <a:ext uri="{FF2B5EF4-FFF2-40B4-BE49-F238E27FC236}">
              <a16:creationId xmlns:a16="http://schemas.microsoft.com/office/drawing/2014/main" id="{0F79A269-95C5-430B-B344-8AE351554E5D}"/>
            </a:ext>
          </a:extLst>
        </xdr:cNvPr>
        <xdr:cNvSpPr>
          <a:spLocks noChangeAspect="1" noChangeArrowheads="1"/>
        </xdr:cNvSpPr>
      </xdr:nvSpPr>
      <xdr:spPr bwMode="auto">
        <a:xfrm>
          <a:off x="819150" y="108746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1162050</xdr:colOff>
      <xdr:row>834</xdr:row>
      <xdr:rowOff>0</xdr:rowOff>
    </xdr:from>
    <xdr:to>
      <xdr:col>1</xdr:col>
      <xdr:colOff>19050</xdr:colOff>
      <xdr:row>834</xdr:row>
      <xdr:rowOff>15240</xdr:rowOff>
    </xdr:to>
    <xdr:pic>
      <xdr:nvPicPr>
        <xdr:cNvPr id="28" name="Bild 1558">
          <a:extLst>
            <a:ext uri="{FF2B5EF4-FFF2-40B4-BE49-F238E27FC236}">
              <a16:creationId xmlns:a16="http://schemas.microsoft.com/office/drawing/2014/main" id="{4437944A-0949-43AF-B619-0C3047D87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603629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711</xdr:row>
      <xdr:rowOff>0</xdr:rowOff>
    </xdr:from>
    <xdr:to>
      <xdr:col>1</xdr:col>
      <xdr:colOff>304800</xdr:colOff>
      <xdr:row>712</xdr:row>
      <xdr:rowOff>20955</xdr:rowOff>
    </xdr:to>
    <xdr:sp macro="" textlink="">
      <xdr:nvSpPr>
        <xdr:cNvPr id="29" name="AutoShape 1025" descr="Resultado de imagen para leifheit 81162">
          <a:extLst>
            <a:ext uri="{FF2B5EF4-FFF2-40B4-BE49-F238E27FC236}">
              <a16:creationId xmlns:a16="http://schemas.microsoft.com/office/drawing/2014/main" id="{846FB340-3E6A-42F0-A31B-0498EF124A96}"/>
            </a:ext>
          </a:extLst>
        </xdr:cNvPr>
        <xdr:cNvSpPr>
          <a:spLocks noChangeAspect="1" noChangeArrowheads="1"/>
        </xdr:cNvSpPr>
      </xdr:nvSpPr>
      <xdr:spPr bwMode="auto">
        <a:xfrm>
          <a:off x="819150" y="1369314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641</xdr:row>
      <xdr:rowOff>0</xdr:rowOff>
    </xdr:from>
    <xdr:to>
      <xdr:col>1</xdr:col>
      <xdr:colOff>304800</xdr:colOff>
      <xdr:row>642</xdr:row>
      <xdr:rowOff>135255</xdr:rowOff>
    </xdr:to>
    <xdr:sp macro="" textlink="">
      <xdr:nvSpPr>
        <xdr:cNvPr id="30" name="Autoforma 1038" descr="Resultado de imagen para 66210 Soehnle">
          <a:extLst>
            <a:ext uri="{FF2B5EF4-FFF2-40B4-BE49-F238E27FC236}">
              <a16:creationId xmlns:a16="http://schemas.microsoft.com/office/drawing/2014/main" id="{623046B1-D320-4A79-BEFE-832FC00A2944}"/>
            </a:ext>
          </a:extLst>
        </xdr:cNvPr>
        <xdr:cNvSpPr>
          <a:spLocks noChangeAspect="1" noChangeArrowheads="1"/>
        </xdr:cNvSpPr>
      </xdr:nvSpPr>
      <xdr:spPr bwMode="auto">
        <a:xfrm>
          <a:off x="819150" y="1235964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755</xdr:row>
      <xdr:rowOff>0</xdr:rowOff>
    </xdr:from>
    <xdr:to>
      <xdr:col>1</xdr:col>
      <xdr:colOff>304800</xdr:colOff>
      <xdr:row>756</xdr:row>
      <xdr:rowOff>135255</xdr:rowOff>
    </xdr:to>
    <xdr:sp macro="" textlink="">
      <xdr:nvSpPr>
        <xdr:cNvPr id="31" name="Autoforma 1038" descr="Resultado de imagen para 66210 Soehnle">
          <a:extLst>
            <a:ext uri="{FF2B5EF4-FFF2-40B4-BE49-F238E27FC236}">
              <a16:creationId xmlns:a16="http://schemas.microsoft.com/office/drawing/2014/main" id="{CDC32011-6043-4A7F-95EF-B70A5AAC887B}"/>
            </a:ext>
          </a:extLst>
        </xdr:cNvPr>
        <xdr:cNvSpPr>
          <a:spLocks noChangeAspect="1" noChangeArrowheads="1"/>
        </xdr:cNvSpPr>
      </xdr:nvSpPr>
      <xdr:spPr bwMode="auto">
        <a:xfrm>
          <a:off x="819150" y="1453134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992</xdr:row>
      <xdr:rowOff>0</xdr:rowOff>
    </xdr:from>
    <xdr:to>
      <xdr:col>1</xdr:col>
      <xdr:colOff>304800</xdr:colOff>
      <xdr:row>993</xdr:row>
      <xdr:rowOff>135255</xdr:rowOff>
    </xdr:to>
    <xdr:sp macro="" textlink="">
      <xdr:nvSpPr>
        <xdr:cNvPr id="14656" name="AutoShape 1025" descr="Resultado de imagen para leifheit 81162">
          <a:extLst>
            <a:ext uri="{FF2B5EF4-FFF2-40B4-BE49-F238E27FC236}">
              <a16:creationId xmlns:a16="http://schemas.microsoft.com/office/drawing/2014/main" id="{0BF5AA38-3054-402D-87A9-C852DF32C45A}"/>
            </a:ext>
          </a:extLst>
        </xdr:cNvPr>
        <xdr:cNvSpPr>
          <a:spLocks noChangeAspect="1" noChangeArrowheads="1"/>
        </xdr:cNvSpPr>
      </xdr:nvSpPr>
      <xdr:spPr bwMode="auto">
        <a:xfrm>
          <a:off x="819150" y="1904619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1162050</xdr:colOff>
      <xdr:row>1031</xdr:row>
      <xdr:rowOff>0</xdr:rowOff>
    </xdr:from>
    <xdr:to>
      <xdr:col>1</xdr:col>
      <xdr:colOff>19050</xdr:colOff>
      <xdr:row>1032</xdr:row>
      <xdr:rowOff>95250</xdr:rowOff>
    </xdr:to>
    <xdr:pic>
      <xdr:nvPicPr>
        <xdr:cNvPr id="14657" name="Bild 1558">
          <a:extLst>
            <a:ext uri="{FF2B5EF4-FFF2-40B4-BE49-F238E27FC236}">
              <a16:creationId xmlns:a16="http://schemas.microsoft.com/office/drawing/2014/main" id="{5BAAD13C-B0E0-4E05-A77C-3BB251708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97891400"/>
          <a:ext cx="95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1162050</xdr:colOff>
      <xdr:row>603</xdr:row>
      <xdr:rowOff>0</xdr:rowOff>
    </xdr:from>
    <xdr:to>
      <xdr:col>1</xdr:col>
      <xdr:colOff>19050</xdr:colOff>
      <xdr:row>603</xdr:row>
      <xdr:rowOff>129540</xdr:rowOff>
    </xdr:to>
    <xdr:pic>
      <xdr:nvPicPr>
        <xdr:cNvPr id="14658" name="Bild 1558">
          <a:extLst>
            <a:ext uri="{FF2B5EF4-FFF2-40B4-BE49-F238E27FC236}">
              <a16:creationId xmlns:a16="http://schemas.microsoft.com/office/drawing/2014/main" id="{4A152B9C-6012-431F-B0A1-251FB277F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1633835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642</xdr:row>
      <xdr:rowOff>0</xdr:rowOff>
    </xdr:from>
    <xdr:to>
      <xdr:col>1</xdr:col>
      <xdr:colOff>304800</xdr:colOff>
      <xdr:row>643</xdr:row>
      <xdr:rowOff>135255</xdr:rowOff>
    </xdr:to>
    <xdr:sp macro="" textlink="">
      <xdr:nvSpPr>
        <xdr:cNvPr id="14659" name="AutoShape 1025" descr="Resultado de imagen para leifheit 81162">
          <a:extLst>
            <a:ext uri="{FF2B5EF4-FFF2-40B4-BE49-F238E27FC236}">
              <a16:creationId xmlns:a16="http://schemas.microsoft.com/office/drawing/2014/main" id="{6B6CFCCA-67E2-4579-8ABA-5FD6D3CEFCF2}"/>
            </a:ext>
          </a:extLst>
        </xdr:cNvPr>
        <xdr:cNvSpPr>
          <a:spLocks noChangeAspect="1" noChangeArrowheads="1"/>
        </xdr:cNvSpPr>
      </xdr:nvSpPr>
      <xdr:spPr bwMode="auto">
        <a:xfrm>
          <a:off x="819150" y="1237869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527</xdr:row>
      <xdr:rowOff>0</xdr:rowOff>
    </xdr:from>
    <xdr:to>
      <xdr:col>1</xdr:col>
      <xdr:colOff>304800</xdr:colOff>
      <xdr:row>528</xdr:row>
      <xdr:rowOff>135255</xdr:rowOff>
    </xdr:to>
    <xdr:sp macro="" textlink="">
      <xdr:nvSpPr>
        <xdr:cNvPr id="14660" name="AutoShape 1025" descr="Resultado de imagen para leifheit 81162">
          <a:extLst>
            <a:ext uri="{FF2B5EF4-FFF2-40B4-BE49-F238E27FC236}">
              <a16:creationId xmlns:a16="http://schemas.microsoft.com/office/drawing/2014/main" id="{ED614010-76F4-4AB0-B0BB-8AF7CDAE9628}"/>
            </a:ext>
          </a:extLst>
        </xdr:cNvPr>
        <xdr:cNvSpPr>
          <a:spLocks noChangeAspect="1" noChangeArrowheads="1"/>
        </xdr:cNvSpPr>
      </xdr:nvSpPr>
      <xdr:spPr bwMode="auto">
        <a:xfrm>
          <a:off x="819150" y="101888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501</xdr:row>
      <xdr:rowOff>0</xdr:rowOff>
    </xdr:from>
    <xdr:to>
      <xdr:col>1</xdr:col>
      <xdr:colOff>304800</xdr:colOff>
      <xdr:row>502</xdr:row>
      <xdr:rowOff>133350</xdr:rowOff>
    </xdr:to>
    <xdr:sp macro="" textlink="">
      <xdr:nvSpPr>
        <xdr:cNvPr id="14661" name="AutoShape 1025" descr="Resultado de imagen para leifheit 81162">
          <a:extLst>
            <a:ext uri="{FF2B5EF4-FFF2-40B4-BE49-F238E27FC236}">
              <a16:creationId xmlns:a16="http://schemas.microsoft.com/office/drawing/2014/main" id="{AA6C5B24-7AB4-4EA8-83E1-226E21960F82}"/>
            </a:ext>
          </a:extLst>
        </xdr:cNvPr>
        <xdr:cNvSpPr>
          <a:spLocks noChangeAspect="1" noChangeArrowheads="1"/>
        </xdr:cNvSpPr>
      </xdr:nvSpPr>
      <xdr:spPr bwMode="auto">
        <a:xfrm>
          <a:off x="819150" y="96935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1162050</xdr:colOff>
      <xdr:row>501</xdr:row>
      <xdr:rowOff>0</xdr:rowOff>
    </xdr:from>
    <xdr:to>
      <xdr:col>1</xdr:col>
      <xdr:colOff>19050</xdr:colOff>
      <xdr:row>501</xdr:row>
      <xdr:rowOff>129540</xdr:rowOff>
    </xdr:to>
    <xdr:pic>
      <xdr:nvPicPr>
        <xdr:cNvPr id="14662" name="Bild 1558">
          <a:extLst>
            <a:ext uri="{FF2B5EF4-FFF2-40B4-BE49-F238E27FC236}">
              <a16:creationId xmlns:a16="http://schemas.microsoft.com/office/drawing/2014/main" id="{B249CB79-8CCD-432C-9C33-A24D9EEEE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96935925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501</xdr:row>
      <xdr:rowOff>0</xdr:rowOff>
    </xdr:from>
    <xdr:to>
      <xdr:col>1</xdr:col>
      <xdr:colOff>304800</xdr:colOff>
      <xdr:row>502</xdr:row>
      <xdr:rowOff>133350</xdr:rowOff>
    </xdr:to>
    <xdr:sp macro="" textlink="">
      <xdr:nvSpPr>
        <xdr:cNvPr id="14663" name="Autoforma 1038" descr="Resultado de imagen para 66210 Soehnle">
          <a:extLst>
            <a:ext uri="{FF2B5EF4-FFF2-40B4-BE49-F238E27FC236}">
              <a16:creationId xmlns:a16="http://schemas.microsoft.com/office/drawing/2014/main" id="{14E9BA8E-4877-47B1-B012-5C2D634A0D4C}"/>
            </a:ext>
          </a:extLst>
        </xdr:cNvPr>
        <xdr:cNvSpPr>
          <a:spLocks noChangeAspect="1" noChangeArrowheads="1"/>
        </xdr:cNvSpPr>
      </xdr:nvSpPr>
      <xdr:spPr bwMode="auto">
        <a:xfrm>
          <a:off x="819150" y="96935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604</xdr:row>
      <xdr:rowOff>135255</xdr:rowOff>
    </xdr:to>
    <xdr:sp macro="" textlink="">
      <xdr:nvSpPr>
        <xdr:cNvPr id="14664" name="Autoforma 1038" descr="Resultado de imagen para 66210 Soehnle">
          <a:extLst>
            <a:ext uri="{FF2B5EF4-FFF2-40B4-BE49-F238E27FC236}">
              <a16:creationId xmlns:a16="http://schemas.microsoft.com/office/drawing/2014/main" id="{6A902DE9-AB07-4E07-B9EA-4026E596B64F}"/>
            </a:ext>
          </a:extLst>
        </xdr:cNvPr>
        <xdr:cNvSpPr>
          <a:spLocks noChangeAspect="1" noChangeArrowheads="1"/>
        </xdr:cNvSpPr>
      </xdr:nvSpPr>
      <xdr:spPr bwMode="auto">
        <a:xfrm>
          <a:off x="819150" y="116338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565</xdr:row>
      <xdr:rowOff>135255</xdr:rowOff>
    </xdr:to>
    <xdr:sp macro="" textlink="">
      <xdr:nvSpPr>
        <xdr:cNvPr id="14665" name="AutoShape 1025" descr="Resultado de imagen para leifheit 81162">
          <a:extLst>
            <a:ext uri="{FF2B5EF4-FFF2-40B4-BE49-F238E27FC236}">
              <a16:creationId xmlns:a16="http://schemas.microsoft.com/office/drawing/2014/main" id="{8B5D0D7A-3E46-4905-B15A-70FA601C4E76}"/>
            </a:ext>
          </a:extLst>
        </xdr:cNvPr>
        <xdr:cNvSpPr>
          <a:spLocks noChangeAspect="1" noChangeArrowheads="1"/>
        </xdr:cNvSpPr>
      </xdr:nvSpPr>
      <xdr:spPr bwMode="auto">
        <a:xfrm>
          <a:off x="819150" y="1089374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304800</xdr:colOff>
      <xdr:row>606</xdr:row>
      <xdr:rowOff>0</xdr:rowOff>
    </xdr:to>
    <xdr:sp macro="" textlink="">
      <xdr:nvSpPr>
        <xdr:cNvPr id="14666" name="AutoShape 1025" descr="Resultado de imagen para leifheit 81162">
          <a:extLst>
            <a:ext uri="{FF2B5EF4-FFF2-40B4-BE49-F238E27FC236}">
              <a16:creationId xmlns:a16="http://schemas.microsoft.com/office/drawing/2014/main" id="{13DB275E-B134-4EFF-849E-6A742914F26D}"/>
            </a:ext>
          </a:extLst>
        </xdr:cNvPr>
        <xdr:cNvSpPr>
          <a:spLocks noChangeAspect="1" noChangeArrowheads="1"/>
        </xdr:cNvSpPr>
      </xdr:nvSpPr>
      <xdr:spPr bwMode="auto">
        <a:xfrm>
          <a:off x="819150" y="116338350"/>
          <a:ext cx="3048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304800</xdr:colOff>
      <xdr:row>567</xdr:row>
      <xdr:rowOff>0</xdr:rowOff>
    </xdr:to>
    <xdr:sp macro="" textlink="">
      <xdr:nvSpPr>
        <xdr:cNvPr id="14667" name="AutoShape 1025" descr="Resultado de imagen para leifheit 81162">
          <a:extLst>
            <a:ext uri="{FF2B5EF4-FFF2-40B4-BE49-F238E27FC236}">
              <a16:creationId xmlns:a16="http://schemas.microsoft.com/office/drawing/2014/main" id="{89ABA9A0-6426-4F4B-B954-A71A2C047945}"/>
            </a:ext>
          </a:extLst>
        </xdr:cNvPr>
        <xdr:cNvSpPr>
          <a:spLocks noChangeAspect="1" noChangeArrowheads="1"/>
        </xdr:cNvSpPr>
      </xdr:nvSpPr>
      <xdr:spPr bwMode="auto">
        <a:xfrm>
          <a:off x="819150" y="108937425"/>
          <a:ext cx="3048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719</xdr:row>
      <xdr:rowOff>0</xdr:rowOff>
    </xdr:from>
    <xdr:to>
      <xdr:col>1</xdr:col>
      <xdr:colOff>304800</xdr:colOff>
      <xdr:row>722</xdr:row>
      <xdr:rowOff>0</xdr:rowOff>
    </xdr:to>
    <xdr:sp macro="" textlink="">
      <xdr:nvSpPr>
        <xdr:cNvPr id="14668" name="AutoShape 1025" descr="Resultado de imagen para leifheit 81162">
          <a:extLst>
            <a:ext uri="{FF2B5EF4-FFF2-40B4-BE49-F238E27FC236}">
              <a16:creationId xmlns:a16="http://schemas.microsoft.com/office/drawing/2014/main" id="{AAD10B66-DC6F-4DDF-978E-B67EA88451B7}"/>
            </a:ext>
          </a:extLst>
        </xdr:cNvPr>
        <xdr:cNvSpPr>
          <a:spLocks noChangeAspect="1" noChangeArrowheads="1"/>
        </xdr:cNvSpPr>
      </xdr:nvSpPr>
      <xdr:spPr bwMode="auto">
        <a:xfrm>
          <a:off x="819150" y="138455400"/>
          <a:ext cx="3048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759</xdr:row>
      <xdr:rowOff>0</xdr:rowOff>
    </xdr:from>
    <xdr:to>
      <xdr:col>3</xdr:col>
      <xdr:colOff>304800</xdr:colOff>
      <xdr:row>760</xdr:row>
      <xdr:rowOff>20955</xdr:rowOff>
    </xdr:to>
    <xdr:sp macro="" textlink="">
      <xdr:nvSpPr>
        <xdr:cNvPr id="14669" name="Autoforma 1025" descr="Soehnle">
          <a:extLst>
            <a:ext uri="{FF2B5EF4-FFF2-40B4-BE49-F238E27FC236}">
              <a16:creationId xmlns:a16="http://schemas.microsoft.com/office/drawing/2014/main" id="{A4120759-D492-402D-A4D4-67912E6D9BEC}"/>
            </a:ext>
          </a:extLst>
        </xdr:cNvPr>
        <xdr:cNvSpPr>
          <a:spLocks noChangeAspect="1" noChangeArrowheads="1"/>
        </xdr:cNvSpPr>
      </xdr:nvSpPr>
      <xdr:spPr bwMode="auto">
        <a:xfrm>
          <a:off x="5410200" y="1460754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641</xdr:row>
      <xdr:rowOff>0</xdr:rowOff>
    </xdr:from>
    <xdr:to>
      <xdr:col>1</xdr:col>
      <xdr:colOff>304800</xdr:colOff>
      <xdr:row>644</xdr:row>
      <xdr:rowOff>0</xdr:rowOff>
    </xdr:to>
    <xdr:sp macro="" textlink="">
      <xdr:nvSpPr>
        <xdr:cNvPr id="14670" name="AutoShape 1025" descr="Resultado de imagen para leifheit 81162">
          <a:extLst>
            <a:ext uri="{FF2B5EF4-FFF2-40B4-BE49-F238E27FC236}">
              <a16:creationId xmlns:a16="http://schemas.microsoft.com/office/drawing/2014/main" id="{5DAA756C-A6A3-4FB0-AAE0-8F7D497ADA24}"/>
            </a:ext>
          </a:extLst>
        </xdr:cNvPr>
        <xdr:cNvSpPr>
          <a:spLocks noChangeAspect="1" noChangeArrowheads="1"/>
        </xdr:cNvSpPr>
      </xdr:nvSpPr>
      <xdr:spPr bwMode="auto">
        <a:xfrm>
          <a:off x="819150" y="123596400"/>
          <a:ext cx="3048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596</xdr:row>
      <xdr:rowOff>0</xdr:rowOff>
    </xdr:from>
    <xdr:to>
      <xdr:col>1</xdr:col>
      <xdr:colOff>304800</xdr:colOff>
      <xdr:row>599</xdr:row>
      <xdr:rowOff>19050</xdr:rowOff>
    </xdr:to>
    <xdr:sp macro="" textlink="">
      <xdr:nvSpPr>
        <xdr:cNvPr id="14671" name="AutoShape 1025" descr="Resultado de imagen para leifheit 81162">
          <a:extLst>
            <a:ext uri="{FF2B5EF4-FFF2-40B4-BE49-F238E27FC236}">
              <a16:creationId xmlns:a16="http://schemas.microsoft.com/office/drawing/2014/main" id="{1411E0F2-D791-49D0-9419-6029EAF01F67}"/>
            </a:ext>
          </a:extLst>
        </xdr:cNvPr>
        <xdr:cNvSpPr>
          <a:spLocks noChangeAspect="1" noChangeArrowheads="1"/>
        </xdr:cNvSpPr>
      </xdr:nvSpPr>
      <xdr:spPr bwMode="auto">
        <a:xfrm>
          <a:off x="819150" y="115004850"/>
          <a:ext cx="3048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601</xdr:row>
      <xdr:rowOff>0</xdr:rowOff>
    </xdr:from>
    <xdr:to>
      <xdr:col>3</xdr:col>
      <xdr:colOff>304800</xdr:colOff>
      <xdr:row>602</xdr:row>
      <xdr:rowOff>135255</xdr:rowOff>
    </xdr:to>
    <xdr:sp macro="" textlink="">
      <xdr:nvSpPr>
        <xdr:cNvPr id="14672" name="Autoforma 1024">
          <a:extLst>
            <a:ext uri="{FF2B5EF4-FFF2-40B4-BE49-F238E27FC236}">
              <a16:creationId xmlns:a16="http://schemas.microsoft.com/office/drawing/2014/main" id="{259CA919-3BA9-4C02-AC30-7B62E435DCD7}"/>
            </a:ext>
          </a:extLst>
        </xdr:cNvPr>
        <xdr:cNvSpPr>
          <a:spLocks noChangeAspect="1" noChangeArrowheads="1"/>
        </xdr:cNvSpPr>
      </xdr:nvSpPr>
      <xdr:spPr bwMode="auto">
        <a:xfrm>
          <a:off x="5410200" y="115957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633</xdr:row>
      <xdr:rowOff>0</xdr:rowOff>
    </xdr:from>
    <xdr:to>
      <xdr:col>1</xdr:col>
      <xdr:colOff>304800</xdr:colOff>
      <xdr:row>634</xdr:row>
      <xdr:rowOff>135255</xdr:rowOff>
    </xdr:to>
    <xdr:sp macro="" textlink="">
      <xdr:nvSpPr>
        <xdr:cNvPr id="14673" name="Autoforma 1038" descr="Resultado de imagen para 66210 Soehnle">
          <a:extLst>
            <a:ext uri="{FF2B5EF4-FFF2-40B4-BE49-F238E27FC236}">
              <a16:creationId xmlns:a16="http://schemas.microsoft.com/office/drawing/2014/main" id="{74189470-3787-4B9D-B6C8-D2455C923167}"/>
            </a:ext>
          </a:extLst>
        </xdr:cNvPr>
        <xdr:cNvSpPr>
          <a:spLocks noChangeAspect="1" noChangeArrowheads="1"/>
        </xdr:cNvSpPr>
      </xdr:nvSpPr>
      <xdr:spPr bwMode="auto">
        <a:xfrm>
          <a:off x="819150" y="1220724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818</xdr:row>
      <xdr:rowOff>0</xdr:rowOff>
    </xdr:from>
    <xdr:to>
      <xdr:col>3</xdr:col>
      <xdr:colOff>304800</xdr:colOff>
      <xdr:row>819</xdr:row>
      <xdr:rowOff>135255</xdr:rowOff>
    </xdr:to>
    <xdr:sp macro="" textlink="">
      <xdr:nvSpPr>
        <xdr:cNvPr id="14674" name="Autoforma 1039" descr="Resultado de imagen para 66210 Soehnle">
          <a:extLst>
            <a:ext uri="{FF2B5EF4-FFF2-40B4-BE49-F238E27FC236}">
              <a16:creationId xmlns:a16="http://schemas.microsoft.com/office/drawing/2014/main" id="{6F4C4FF0-D9E1-42F8-BE37-9230D3D1E389}"/>
            </a:ext>
          </a:extLst>
        </xdr:cNvPr>
        <xdr:cNvSpPr>
          <a:spLocks noChangeAspect="1" noChangeArrowheads="1"/>
        </xdr:cNvSpPr>
      </xdr:nvSpPr>
      <xdr:spPr bwMode="auto">
        <a:xfrm>
          <a:off x="5410200" y="1573149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562</xdr:row>
      <xdr:rowOff>0</xdr:rowOff>
    </xdr:from>
    <xdr:to>
      <xdr:col>3</xdr:col>
      <xdr:colOff>304800</xdr:colOff>
      <xdr:row>563</xdr:row>
      <xdr:rowOff>135255</xdr:rowOff>
    </xdr:to>
    <xdr:sp macro="" textlink="">
      <xdr:nvSpPr>
        <xdr:cNvPr id="14675" name="Autoforma 1040" descr="Resultado de imagen para 65855 Soehnle">
          <a:extLst>
            <a:ext uri="{FF2B5EF4-FFF2-40B4-BE49-F238E27FC236}">
              <a16:creationId xmlns:a16="http://schemas.microsoft.com/office/drawing/2014/main" id="{D501723A-876C-4004-8463-42A6827C8296}"/>
            </a:ext>
          </a:extLst>
        </xdr:cNvPr>
        <xdr:cNvSpPr>
          <a:spLocks noChangeAspect="1" noChangeArrowheads="1"/>
        </xdr:cNvSpPr>
      </xdr:nvSpPr>
      <xdr:spPr bwMode="auto">
        <a:xfrm>
          <a:off x="5410200" y="1085564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501</xdr:row>
      <xdr:rowOff>0</xdr:rowOff>
    </xdr:from>
    <xdr:to>
      <xdr:col>1</xdr:col>
      <xdr:colOff>304800</xdr:colOff>
      <xdr:row>502</xdr:row>
      <xdr:rowOff>133350</xdr:rowOff>
    </xdr:to>
    <xdr:sp macro="" textlink="">
      <xdr:nvSpPr>
        <xdr:cNvPr id="14676" name="Autoforma 1038" descr="Resultado de imagen para 66210 Soehnle">
          <a:extLst>
            <a:ext uri="{FF2B5EF4-FFF2-40B4-BE49-F238E27FC236}">
              <a16:creationId xmlns:a16="http://schemas.microsoft.com/office/drawing/2014/main" id="{1477AFA1-A064-49A8-85B9-0A1A46F7A755}"/>
            </a:ext>
          </a:extLst>
        </xdr:cNvPr>
        <xdr:cNvSpPr>
          <a:spLocks noChangeAspect="1" noChangeArrowheads="1"/>
        </xdr:cNvSpPr>
      </xdr:nvSpPr>
      <xdr:spPr bwMode="auto">
        <a:xfrm>
          <a:off x="819150" y="96935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501</xdr:row>
      <xdr:rowOff>0</xdr:rowOff>
    </xdr:from>
    <xdr:to>
      <xdr:col>3</xdr:col>
      <xdr:colOff>304800</xdr:colOff>
      <xdr:row>502</xdr:row>
      <xdr:rowOff>133350</xdr:rowOff>
    </xdr:to>
    <xdr:sp macro="" textlink="">
      <xdr:nvSpPr>
        <xdr:cNvPr id="14677" name="Autoforma 1043" descr="Resultado de imagen para 65854 Soehnle">
          <a:extLst>
            <a:ext uri="{FF2B5EF4-FFF2-40B4-BE49-F238E27FC236}">
              <a16:creationId xmlns:a16="http://schemas.microsoft.com/office/drawing/2014/main" id="{C2A69997-D2F8-446E-BFE0-F30111904906}"/>
            </a:ext>
          </a:extLst>
        </xdr:cNvPr>
        <xdr:cNvSpPr>
          <a:spLocks noChangeAspect="1" noChangeArrowheads="1"/>
        </xdr:cNvSpPr>
      </xdr:nvSpPr>
      <xdr:spPr bwMode="auto">
        <a:xfrm>
          <a:off x="5410200" y="969359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453</xdr:row>
      <xdr:rowOff>0</xdr:rowOff>
    </xdr:from>
    <xdr:to>
      <xdr:col>3</xdr:col>
      <xdr:colOff>304800</xdr:colOff>
      <xdr:row>454</xdr:row>
      <xdr:rowOff>135255</xdr:rowOff>
    </xdr:to>
    <xdr:sp macro="" textlink="">
      <xdr:nvSpPr>
        <xdr:cNvPr id="14678" name="Autoforma 1616" descr="Resultado de imagen para soehnle">
          <a:extLst>
            <a:ext uri="{FF2B5EF4-FFF2-40B4-BE49-F238E27FC236}">
              <a16:creationId xmlns:a16="http://schemas.microsoft.com/office/drawing/2014/main" id="{3E1577C7-67B4-4FD0-AFEF-0E2DB588A09B}"/>
            </a:ext>
          </a:extLst>
        </xdr:cNvPr>
        <xdr:cNvSpPr>
          <a:spLocks noChangeAspect="1" noChangeArrowheads="1"/>
        </xdr:cNvSpPr>
      </xdr:nvSpPr>
      <xdr:spPr bwMode="auto">
        <a:xfrm>
          <a:off x="5410200" y="882681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1162050</xdr:colOff>
      <xdr:row>643</xdr:row>
      <xdr:rowOff>0</xdr:rowOff>
    </xdr:from>
    <xdr:to>
      <xdr:col>1</xdr:col>
      <xdr:colOff>19050</xdr:colOff>
      <xdr:row>643</xdr:row>
      <xdr:rowOff>129540</xdr:rowOff>
    </xdr:to>
    <xdr:pic>
      <xdr:nvPicPr>
        <xdr:cNvPr id="14679" name="Bild 1558">
          <a:extLst>
            <a:ext uri="{FF2B5EF4-FFF2-40B4-BE49-F238E27FC236}">
              <a16:creationId xmlns:a16="http://schemas.microsoft.com/office/drawing/2014/main" id="{DC8219A9-1836-4AD4-82DC-07E11AB9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2397740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716</xdr:row>
      <xdr:rowOff>0</xdr:rowOff>
    </xdr:from>
    <xdr:to>
      <xdr:col>1</xdr:col>
      <xdr:colOff>304800</xdr:colOff>
      <xdr:row>717</xdr:row>
      <xdr:rowOff>135255</xdr:rowOff>
    </xdr:to>
    <xdr:sp macro="" textlink="">
      <xdr:nvSpPr>
        <xdr:cNvPr id="14680" name="AutoShape 1025" descr="Resultado de imagen para leifheit 81162">
          <a:extLst>
            <a:ext uri="{FF2B5EF4-FFF2-40B4-BE49-F238E27FC236}">
              <a16:creationId xmlns:a16="http://schemas.microsoft.com/office/drawing/2014/main" id="{4CC12E11-E0CD-48E4-875E-B11A7D5045C1}"/>
            </a:ext>
          </a:extLst>
        </xdr:cNvPr>
        <xdr:cNvSpPr>
          <a:spLocks noChangeAspect="1" noChangeArrowheads="1"/>
        </xdr:cNvSpPr>
      </xdr:nvSpPr>
      <xdr:spPr bwMode="auto">
        <a:xfrm>
          <a:off x="819150" y="1378839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643</xdr:row>
      <xdr:rowOff>0</xdr:rowOff>
    </xdr:from>
    <xdr:to>
      <xdr:col>1</xdr:col>
      <xdr:colOff>304800</xdr:colOff>
      <xdr:row>644</xdr:row>
      <xdr:rowOff>135255</xdr:rowOff>
    </xdr:to>
    <xdr:sp macro="" textlink="">
      <xdr:nvSpPr>
        <xdr:cNvPr id="1696" name="Autoforma 1038" descr="Resultado de imagen para 66210 Soehnle">
          <a:extLst>
            <a:ext uri="{FF2B5EF4-FFF2-40B4-BE49-F238E27FC236}">
              <a16:creationId xmlns:a16="http://schemas.microsoft.com/office/drawing/2014/main" id="{4A29E5EA-A12B-464B-A73F-C7EE2DFD603B}"/>
            </a:ext>
          </a:extLst>
        </xdr:cNvPr>
        <xdr:cNvSpPr>
          <a:spLocks noChangeAspect="1" noChangeArrowheads="1"/>
        </xdr:cNvSpPr>
      </xdr:nvSpPr>
      <xdr:spPr bwMode="auto">
        <a:xfrm>
          <a:off x="819150" y="1239774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604</xdr:row>
      <xdr:rowOff>0</xdr:rowOff>
    </xdr:from>
    <xdr:to>
      <xdr:col>1</xdr:col>
      <xdr:colOff>304800</xdr:colOff>
      <xdr:row>605</xdr:row>
      <xdr:rowOff>135255</xdr:rowOff>
    </xdr:to>
    <xdr:sp macro="" textlink="">
      <xdr:nvSpPr>
        <xdr:cNvPr id="1697" name="Autoforma 1038" descr="Resultado de imagen para 66210 Soehnle">
          <a:extLst>
            <a:ext uri="{FF2B5EF4-FFF2-40B4-BE49-F238E27FC236}">
              <a16:creationId xmlns:a16="http://schemas.microsoft.com/office/drawing/2014/main" id="{C45BCBD6-3375-473E-859C-5694F3B0353F}"/>
            </a:ext>
          </a:extLst>
        </xdr:cNvPr>
        <xdr:cNvSpPr>
          <a:spLocks noChangeAspect="1" noChangeArrowheads="1"/>
        </xdr:cNvSpPr>
      </xdr:nvSpPr>
      <xdr:spPr bwMode="auto">
        <a:xfrm>
          <a:off x="819150" y="1165288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643</xdr:row>
      <xdr:rowOff>0</xdr:rowOff>
    </xdr:from>
    <xdr:to>
      <xdr:col>1</xdr:col>
      <xdr:colOff>304800</xdr:colOff>
      <xdr:row>644</xdr:row>
      <xdr:rowOff>135255</xdr:rowOff>
    </xdr:to>
    <xdr:sp macro="" textlink="">
      <xdr:nvSpPr>
        <xdr:cNvPr id="1698" name="AutoShape 1025" descr="Resultado de imagen para leifheit 81162">
          <a:extLst>
            <a:ext uri="{FF2B5EF4-FFF2-40B4-BE49-F238E27FC236}">
              <a16:creationId xmlns:a16="http://schemas.microsoft.com/office/drawing/2014/main" id="{70AEED60-5E40-4CFF-8858-D7CBE34444AC}"/>
            </a:ext>
          </a:extLst>
        </xdr:cNvPr>
        <xdr:cNvSpPr>
          <a:spLocks noChangeAspect="1" noChangeArrowheads="1"/>
        </xdr:cNvSpPr>
      </xdr:nvSpPr>
      <xdr:spPr bwMode="auto">
        <a:xfrm>
          <a:off x="819150" y="1239774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1162050</xdr:colOff>
      <xdr:row>604</xdr:row>
      <xdr:rowOff>0</xdr:rowOff>
    </xdr:from>
    <xdr:to>
      <xdr:col>1</xdr:col>
      <xdr:colOff>19050</xdr:colOff>
      <xdr:row>604</xdr:row>
      <xdr:rowOff>129540</xdr:rowOff>
    </xdr:to>
    <xdr:pic>
      <xdr:nvPicPr>
        <xdr:cNvPr id="1699" name="Bild 1558">
          <a:extLst>
            <a:ext uri="{FF2B5EF4-FFF2-40B4-BE49-F238E27FC236}">
              <a16:creationId xmlns:a16="http://schemas.microsoft.com/office/drawing/2014/main" id="{D0742F91-06AF-4E77-8D9B-8D0359DC1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1652885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604</xdr:row>
      <xdr:rowOff>0</xdr:rowOff>
    </xdr:from>
    <xdr:to>
      <xdr:col>1</xdr:col>
      <xdr:colOff>304800</xdr:colOff>
      <xdr:row>605</xdr:row>
      <xdr:rowOff>135255</xdr:rowOff>
    </xdr:to>
    <xdr:sp macro="" textlink="">
      <xdr:nvSpPr>
        <xdr:cNvPr id="1700" name="Autoforma 1038" descr="Resultado de imagen para 66210 Soehnle">
          <a:extLst>
            <a:ext uri="{FF2B5EF4-FFF2-40B4-BE49-F238E27FC236}">
              <a16:creationId xmlns:a16="http://schemas.microsoft.com/office/drawing/2014/main" id="{38E19825-4A40-40C9-BA83-429A528AF817}"/>
            </a:ext>
          </a:extLst>
        </xdr:cNvPr>
        <xdr:cNvSpPr>
          <a:spLocks noChangeAspect="1" noChangeArrowheads="1"/>
        </xdr:cNvSpPr>
      </xdr:nvSpPr>
      <xdr:spPr bwMode="auto">
        <a:xfrm>
          <a:off x="819150" y="1165288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848</xdr:row>
      <xdr:rowOff>0</xdr:rowOff>
    </xdr:from>
    <xdr:to>
      <xdr:col>1</xdr:col>
      <xdr:colOff>304800</xdr:colOff>
      <xdr:row>849</xdr:row>
      <xdr:rowOff>135255</xdr:rowOff>
    </xdr:to>
    <xdr:sp macro="" textlink="">
      <xdr:nvSpPr>
        <xdr:cNvPr id="1701" name="Autoforma 1038" descr="Resultado de imagen para 66210 Soehnle">
          <a:extLst>
            <a:ext uri="{FF2B5EF4-FFF2-40B4-BE49-F238E27FC236}">
              <a16:creationId xmlns:a16="http://schemas.microsoft.com/office/drawing/2014/main" id="{DF89CD22-39E0-4B14-9452-811BD0EABA22}"/>
            </a:ext>
          </a:extLst>
        </xdr:cNvPr>
        <xdr:cNvSpPr>
          <a:spLocks noChangeAspect="1" noChangeArrowheads="1"/>
        </xdr:cNvSpPr>
      </xdr:nvSpPr>
      <xdr:spPr bwMode="auto">
        <a:xfrm>
          <a:off x="819150" y="1630299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715</xdr:row>
      <xdr:rowOff>0</xdr:rowOff>
    </xdr:from>
    <xdr:to>
      <xdr:col>1</xdr:col>
      <xdr:colOff>304800</xdr:colOff>
      <xdr:row>716</xdr:row>
      <xdr:rowOff>135255</xdr:rowOff>
    </xdr:to>
    <xdr:sp macro="" textlink="">
      <xdr:nvSpPr>
        <xdr:cNvPr id="1702" name="AutoShape 1025" descr="Resultado de imagen para leifheit 81162">
          <a:extLst>
            <a:ext uri="{FF2B5EF4-FFF2-40B4-BE49-F238E27FC236}">
              <a16:creationId xmlns:a16="http://schemas.microsoft.com/office/drawing/2014/main" id="{BCEB2A4A-9BA8-43DF-9CF4-1EEFB37A54C2}"/>
            </a:ext>
          </a:extLst>
        </xdr:cNvPr>
        <xdr:cNvSpPr>
          <a:spLocks noChangeAspect="1" noChangeArrowheads="1"/>
        </xdr:cNvSpPr>
      </xdr:nvSpPr>
      <xdr:spPr bwMode="auto">
        <a:xfrm>
          <a:off x="819150" y="1376934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1162050</xdr:colOff>
      <xdr:row>2628</xdr:row>
      <xdr:rowOff>0</xdr:rowOff>
    </xdr:from>
    <xdr:to>
      <xdr:col>1</xdr:col>
      <xdr:colOff>19050</xdr:colOff>
      <xdr:row>2628</xdr:row>
      <xdr:rowOff>129540</xdr:rowOff>
    </xdr:to>
    <xdr:pic>
      <xdr:nvPicPr>
        <xdr:cNvPr id="1703" name="Bild 1558">
          <a:extLst>
            <a:ext uri="{FF2B5EF4-FFF2-40B4-BE49-F238E27FC236}">
              <a16:creationId xmlns:a16="http://schemas.microsoft.com/office/drawing/2014/main" id="{840DB99B-460F-45D9-AF07-F8507D293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50211990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1162050</xdr:colOff>
      <xdr:row>715</xdr:row>
      <xdr:rowOff>0</xdr:rowOff>
    </xdr:from>
    <xdr:to>
      <xdr:col>1</xdr:col>
      <xdr:colOff>19050</xdr:colOff>
      <xdr:row>715</xdr:row>
      <xdr:rowOff>15240</xdr:rowOff>
    </xdr:to>
    <xdr:pic>
      <xdr:nvPicPr>
        <xdr:cNvPr id="1704" name="Bild 1558">
          <a:extLst>
            <a:ext uri="{FF2B5EF4-FFF2-40B4-BE49-F238E27FC236}">
              <a16:creationId xmlns:a16="http://schemas.microsoft.com/office/drawing/2014/main" id="{58DA0D3F-9860-4315-879B-4616539A4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769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754</xdr:row>
      <xdr:rowOff>0</xdr:rowOff>
    </xdr:from>
    <xdr:to>
      <xdr:col>1</xdr:col>
      <xdr:colOff>304800</xdr:colOff>
      <xdr:row>755</xdr:row>
      <xdr:rowOff>135255</xdr:rowOff>
    </xdr:to>
    <xdr:sp macro="" textlink="">
      <xdr:nvSpPr>
        <xdr:cNvPr id="1705" name="AutoShape 1025" descr="Resultado de imagen para leifheit 81162">
          <a:extLst>
            <a:ext uri="{FF2B5EF4-FFF2-40B4-BE49-F238E27FC236}">
              <a16:creationId xmlns:a16="http://schemas.microsoft.com/office/drawing/2014/main" id="{F0147A91-53C1-4A43-9D68-E5F0BE6EFEBD}"/>
            </a:ext>
          </a:extLst>
        </xdr:cNvPr>
        <xdr:cNvSpPr>
          <a:spLocks noChangeAspect="1" noChangeArrowheads="1"/>
        </xdr:cNvSpPr>
      </xdr:nvSpPr>
      <xdr:spPr bwMode="auto">
        <a:xfrm>
          <a:off x="819150" y="1451229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759</xdr:row>
      <xdr:rowOff>0</xdr:rowOff>
    </xdr:from>
    <xdr:to>
      <xdr:col>1</xdr:col>
      <xdr:colOff>304800</xdr:colOff>
      <xdr:row>760</xdr:row>
      <xdr:rowOff>135255</xdr:rowOff>
    </xdr:to>
    <xdr:sp macro="" textlink="">
      <xdr:nvSpPr>
        <xdr:cNvPr id="1706" name="AutoShape 1025" descr="Resultado de imagen para leifheit 81162">
          <a:extLst>
            <a:ext uri="{FF2B5EF4-FFF2-40B4-BE49-F238E27FC236}">
              <a16:creationId xmlns:a16="http://schemas.microsoft.com/office/drawing/2014/main" id="{2149B5EA-A092-4F79-8577-E24F395E3D3D}"/>
            </a:ext>
          </a:extLst>
        </xdr:cNvPr>
        <xdr:cNvSpPr>
          <a:spLocks noChangeAspect="1" noChangeArrowheads="1"/>
        </xdr:cNvSpPr>
      </xdr:nvSpPr>
      <xdr:spPr bwMode="auto">
        <a:xfrm>
          <a:off x="819150" y="1460754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1162050</xdr:colOff>
      <xdr:row>721</xdr:row>
      <xdr:rowOff>0</xdr:rowOff>
    </xdr:from>
    <xdr:to>
      <xdr:col>1</xdr:col>
      <xdr:colOff>19050</xdr:colOff>
      <xdr:row>721</xdr:row>
      <xdr:rowOff>129540</xdr:rowOff>
    </xdr:to>
    <xdr:pic>
      <xdr:nvPicPr>
        <xdr:cNvPr id="1707" name="Bild 1558">
          <a:extLst>
            <a:ext uri="{FF2B5EF4-FFF2-40B4-BE49-F238E27FC236}">
              <a16:creationId xmlns:a16="http://schemas.microsoft.com/office/drawing/2014/main" id="{9F2CABD8-7200-4D35-980E-2977F1447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883640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5</xdr:row>
      <xdr:rowOff>22860</xdr:rowOff>
    </xdr:from>
    <xdr:to>
      <xdr:col>0</xdr:col>
      <xdr:colOff>838200</xdr:colOff>
      <xdr:row>7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4206B5-716F-A780-69E1-B975D986E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" y="960120"/>
          <a:ext cx="464820" cy="464820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</xdr:colOff>
      <xdr:row>5</xdr:row>
      <xdr:rowOff>22860</xdr:rowOff>
    </xdr:from>
    <xdr:to>
      <xdr:col>0</xdr:col>
      <xdr:colOff>840105</xdr:colOff>
      <xdr:row>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BB83E8-3A90-4AB4-B8E7-78DFD8C25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942975"/>
          <a:ext cx="466725" cy="476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Nota%20de%20Pedido%20BM%20Enero%202026.xlsx" TargetMode="External"/><Relationship Id="rId1" Type="http://schemas.openxmlformats.org/officeDocument/2006/relationships/externalLinkPath" Target="file:///C:\Users\Lenovo\Downloads\Nota%20de%20Pedido%20BM%20Ener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ente"/>
      <sheetName val="Pedido"/>
      <sheetName val="csv"/>
    </sheetNames>
    <sheetDataSet>
      <sheetData sheetId="0">
        <row r="3">
          <cell r="A3" t="str">
            <v>SR1011/1</v>
          </cell>
          <cell r="B3" t="str">
            <v>Termo Cuidar 700ml Negro</v>
          </cell>
          <cell r="C3">
            <v>11389.84</v>
          </cell>
          <cell r="D3">
            <v>6</v>
          </cell>
          <cell r="E3">
            <v>4.4562500000000001E-3</v>
          </cell>
          <cell r="F3"/>
        </row>
        <row r="4">
          <cell r="A4" t="str">
            <v>SR1011/60</v>
          </cell>
          <cell r="B4" t="str">
            <v>Termo Cuidar 700ml + Porta Filtro en Caja de Regalo Rosa</v>
          </cell>
          <cell r="C4">
            <v>16108.487999999999</v>
          </cell>
          <cell r="D4">
            <v>6</v>
          </cell>
          <cell r="E4">
            <v>9.0843750000000004E-3</v>
          </cell>
          <cell r="F4"/>
        </row>
        <row r="5">
          <cell r="A5" t="str">
            <v>SR1011/61</v>
          </cell>
          <cell r="B5" t="str">
            <v>Termo Cuidar 700ml + Porta Filtro en Caja de Regalo Blanco</v>
          </cell>
          <cell r="C5">
            <v>16108.487999999999</v>
          </cell>
          <cell r="D5">
            <v>6</v>
          </cell>
          <cell r="E5">
            <v>9.0843750000000004E-3</v>
          </cell>
          <cell r="F5"/>
        </row>
        <row r="6">
          <cell r="A6" t="str">
            <v>SR1015/3</v>
          </cell>
          <cell r="B6" t="str">
            <v>Termo Bomba Expressar 1L Rojo</v>
          </cell>
          <cell r="C6">
            <v>20339</v>
          </cell>
          <cell r="D6">
            <v>6</v>
          </cell>
          <cell r="E6">
            <v>6.84375E-3</v>
          </cell>
          <cell r="F6"/>
        </row>
        <row r="7">
          <cell r="A7" t="str">
            <v>SR1015/50</v>
          </cell>
          <cell r="B7" t="str">
            <v>Termo Bomba Expressar Negro 1L Con Serigrafía"Café"</v>
          </cell>
          <cell r="C7">
            <v>20339</v>
          </cell>
          <cell r="D7">
            <v>6</v>
          </cell>
          <cell r="E7">
            <v>8.9999999999999993E-3</v>
          </cell>
          <cell r="F7"/>
        </row>
        <row r="8">
          <cell r="A8" t="str">
            <v>SR1015/51</v>
          </cell>
          <cell r="B8" t="str">
            <v>Termo Bomba Expressar Blanco 1L Con Serigrafía "Leche"</v>
          </cell>
          <cell r="C8">
            <v>20339</v>
          </cell>
          <cell r="D8">
            <v>6</v>
          </cell>
          <cell r="E8">
            <v>8.9999999999999993E-3</v>
          </cell>
          <cell r="F8"/>
        </row>
        <row r="9">
          <cell r="A9" t="str">
            <v>SR1016</v>
          </cell>
          <cell r="B9" t="str">
            <v>Termo Bomba Expressar de 1.8 lts. Blanco</v>
          </cell>
          <cell r="C9">
            <v>21966.120000000003</v>
          </cell>
          <cell r="D9">
            <v>6</v>
          </cell>
          <cell r="E9">
            <v>9.4999999999999998E-3</v>
          </cell>
          <cell r="F9"/>
        </row>
        <row r="10">
          <cell r="A10" t="str">
            <v>SR1016/1</v>
          </cell>
          <cell r="B10" t="str">
            <v>Termo Bomba Expressar de 1.8 lts. Negro</v>
          </cell>
          <cell r="C10">
            <v>21966.120000000003</v>
          </cell>
          <cell r="D10">
            <v>6</v>
          </cell>
          <cell r="E10">
            <v>9.4999999999999998E-3</v>
          </cell>
          <cell r="F10"/>
        </row>
        <row r="11">
          <cell r="A11" t="str">
            <v>SR1016/A</v>
          </cell>
          <cell r="B11" t="str">
            <v>Ampolla Repuesto 1.8lts.</v>
          </cell>
          <cell r="C11">
            <v>14644.08</v>
          </cell>
          <cell r="D11">
            <v>6</v>
          </cell>
          <cell r="E11">
            <v>6.1425000000000004E-3</v>
          </cell>
          <cell r="F11"/>
        </row>
        <row r="12">
          <cell r="A12" t="str">
            <v>SR1001</v>
          </cell>
          <cell r="B12" t="str">
            <v>Termo Adorar  0.25lts. Blanco</v>
          </cell>
          <cell r="C12">
            <v>9762.7199999999993</v>
          </cell>
          <cell r="D12">
            <v>6</v>
          </cell>
          <cell r="E12">
            <v>1.70925E-3</v>
          </cell>
          <cell r="F12"/>
        </row>
        <row r="13">
          <cell r="A13" t="str">
            <v>SR1001/1</v>
          </cell>
          <cell r="B13" t="str">
            <v>Termo Adorar  0.25lts. Negro</v>
          </cell>
          <cell r="C13">
            <v>9762.7199999999993</v>
          </cell>
          <cell r="D13">
            <v>6</v>
          </cell>
          <cell r="E13">
            <v>1.70925E-3</v>
          </cell>
          <cell r="F13"/>
        </row>
        <row r="14">
          <cell r="A14" t="str">
            <v>SR1001/2</v>
          </cell>
          <cell r="B14" t="str">
            <v>Termo Adorar  0.25lts. Celeste</v>
          </cell>
          <cell r="C14">
            <v>9762.7199999999993</v>
          </cell>
          <cell r="D14">
            <v>6</v>
          </cell>
          <cell r="E14">
            <v>1.70925E-3</v>
          </cell>
          <cell r="F14"/>
        </row>
        <row r="15">
          <cell r="A15" t="str">
            <v>SR1001/3</v>
          </cell>
          <cell r="B15" t="str">
            <v>Termo Adorar  0.25lts. Rosa</v>
          </cell>
          <cell r="C15">
            <v>9762.7199999999993</v>
          </cell>
          <cell r="D15">
            <v>6</v>
          </cell>
          <cell r="E15">
            <v>1.70925E-3</v>
          </cell>
          <cell r="F15"/>
        </row>
        <row r="16">
          <cell r="A16"/>
          <cell r="B16" t="str">
            <v/>
          </cell>
          <cell r="C16"/>
          <cell r="D16"/>
          <cell r="E16" t="e">
            <v>#N/A</v>
          </cell>
          <cell r="F16"/>
        </row>
        <row r="17">
          <cell r="A17" t="str">
            <v>1763/33</v>
          </cell>
          <cell r="B17" t="str">
            <v>Rectangular de 330ml 136X102X56Mm</v>
          </cell>
          <cell r="C17">
            <v>2359.3240000000005</v>
          </cell>
          <cell r="D17">
            <v>12</v>
          </cell>
          <cell r="E17">
            <v>7.4089999999999996E-4</v>
          </cell>
          <cell r="F17" t="e">
            <v>#REF!</v>
          </cell>
        </row>
        <row r="18">
          <cell r="A18" t="str">
            <v>1762/33</v>
          </cell>
          <cell r="B18" t="str">
            <v>Rectangular Alto de 537ml 136X102X84Mm</v>
          </cell>
          <cell r="C18">
            <v>2522.0360000000005</v>
          </cell>
          <cell r="D18">
            <v>12</v>
          </cell>
          <cell r="E18">
            <v>1.0464999999999999E-3</v>
          </cell>
          <cell r="F18" t="e">
            <v>#REF!</v>
          </cell>
        </row>
        <row r="19">
          <cell r="A19" t="str">
            <v>1761/33</v>
          </cell>
          <cell r="B19" t="str">
            <v>Rectangular Alto de 770ml 136X102X110Mm</v>
          </cell>
          <cell r="C19">
            <v>3091.5280000000002</v>
          </cell>
          <cell r="D19">
            <v>12</v>
          </cell>
          <cell r="E19">
            <v>1.468125E-3</v>
          </cell>
          <cell r="F19" t="e">
            <v>#REF!</v>
          </cell>
        </row>
        <row r="20">
          <cell r="A20" t="str">
            <v>1760/33</v>
          </cell>
          <cell r="B20" t="str">
            <v>Rectangular Alto de 1400ml 136X102X185Mm</v>
          </cell>
          <cell r="C20">
            <v>3579.6640000000002</v>
          </cell>
          <cell r="D20">
            <v>6</v>
          </cell>
          <cell r="E20">
            <v>2.5175000000000002E-3</v>
          </cell>
          <cell r="F20" t="e">
            <v>#REF!</v>
          </cell>
        </row>
        <row r="21">
          <cell r="A21" t="str">
            <v>1753/33</v>
          </cell>
          <cell r="B21" t="str">
            <v>Rectangular c/División de 730ml 207X137X57Mm</v>
          </cell>
          <cell r="C21">
            <v>3538.9859999999999</v>
          </cell>
          <cell r="D21">
            <v>12</v>
          </cell>
          <cell r="E21">
            <v>1.5708E-3</v>
          </cell>
          <cell r="F21" t="e">
            <v>#REF!</v>
          </cell>
        </row>
        <row r="22">
          <cell r="A22" t="str">
            <v>1752/33</v>
          </cell>
          <cell r="B22" t="str">
            <v>Rectangular  de 820ml 207X137X57Mm</v>
          </cell>
          <cell r="C22">
            <v>3416.9519999999998</v>
          </cell>
          <cell r="D22">
            <v>12</v>
          </cell>
          <cell r="E22">
            <v>1.5708E-3</v>
          </cell>
          <cell r="F22" t="e">
            <v>#REF!</v>
          </cell>
        </row>
        <row r="23">
          <cell r="A23" t="str">
            <v>1751/33</v>
          </cell>
          <cell r="B23" t="str">
            <v>Rectangular  de 1240ml 207X137X76Mm</v>
          </cell>
          <cell r="C23">
            <v>3742.3759999999997</v>
          </cell>
          <cell r="D23">
            <v>12</v>
          </cell>
          <cell r="E23">
            <v>2.21375E-3</v>
          </cell>
          <cell r="F23" t="e">
            <v>#REF!</v>
          </cell>
        </row>
        <row r="24">
          <cell r="A24" t="str">
            <v>1750/33</v>
          </cell>
          <cell r="B24" t="str">
            <v>Rectangular  de 2000ml 207X137X113Mm</v>
          </cell>
          <cell r="C24">
            <v>4393.2240000000002</v>
          </cell>
          <cell r="D24">
            <v>6</v>
          </cell>
          <cell r="E24">
            <v>3.542E-3</v>
          </cell>
          <cell r="F24" t="e">
            <v>#REF!</v>
          </cell>
        </row>
        <row r="25">
          <cell r="A25" t="str">
            <v>1742/34</v>
          </cell>
          <cell r="B25" t="str">
            <v>Rectangular c/División de 1600ml 253X174X62Mm</v>
          </cell>
          <cell r="C25">
            <v>5369.4960000000001</v>
          </cell>
          <cell r="D25">
            <v>6</v>
          </cell>
          <cell r="E25">
            <v>2.843375E-3</v>
          </cell>
          <cell r="F25" t="e">
            <v>#REF!</v>
          </cell>
        </row>
        <row r="26">
          <cell r="A26" t="str">
            <v>1742/33</v>
          </cell>
          <cell r="B26" t="str">
            <v>Rectangular  de 1600ml 253X174X62Mm</v>
          </cell>
          <cell r="C26">
            <v>4718.648000000001</v>
          </cell>
          <cell r="D26">
            <v>6</v>
          </cell>
          <cell r="E26">
            <v>2.8436750000000004E-3</v>
          </cell>
          <cell r="F26" t="e">
            <v>#REF!</v>
          </cell>
        </row>
        <row r="27">
          <cell r="A27" t="str">
            <v>1741/33</v>
          </cell>
          <cell r="B27" t="str">
            <v>Rectangular  de 2500ml 253X174X89Mm</v>
          </cell>
          <cell r="C27">
            <v>5044.072000000001</v>
          </cell>
          <cell r="D27">
            <v>6</v>
          </cell>
          <cell r="E27">
            <v>4.2087499999999998E-3</v>
          </cell>
          <cell r="F27" t="e">
            <v>#REF!</v>
          </cell>
        </row>
        <row r="28">
          <cell r="A28" t="str">
            <v>1740/33</v>
          </cell>
          <cell r="B28" t="str">
            <v>Rectangular  de 3500ml 253X174X122Mm</v>
          </cell>
          <cell r="C28">
            <v>5369.4960000000001</v>
          </cell>
          <cell r="D28">
            <v>6</v>
          </cell>
          <cell r="E28">
            <v>5.465625E-3</v>
          </cell>
          <cell r="F28" t="e">
            <v>#REF!</v>
          </cell>
        </row>
        <row r="29">
          <cell r="A29" t="str">
            <v>1741/33/C</v>
          </cell>
          <cell r="B29" t="str">
            <v>Set x 3 Herméticos (1741+1751+1763)</v>
          </cell>
          <cell r="C29">
            <v>9844.0759999999991</v>
          </cell>
          <cell r="D29">
            <v>6</v>
          </cell>
          <cell r="E29">
            <v>4.2087499999999998E-3</v>
          </cell>
          <cell r="F29" t="e">
            <v>#REF!</v>
          </cell>
        </row>
        <row r="30">
          <cell r="A30">
            <v>1763</v>
          </cell>
          <cell r="B30" t="str">
            <v>Rectangular de 330ml 136X102X56Mm</v>
          </cell>
          <cell r="C30">
            <v>2359.3240000000005</v>
          </cell>
          <cell r="D30">
            <v>12</v>
          </cell>
          <cell r="E30">
            <v>7.4089999999999996E-4</v>
          </cell>
          <cell r="F30" t="e">
            <v>#REF!</v>
          </cell>
        </row>
        <row r="31">
          <cell r="A31">
            <v>1762</v>
          </cell>
          <cell r="B31" t="str">
            <v>Rectangular Alto de 537ml 136X102X84Mm</v>
          </cell>
          <cell r="C31">
            <v>2522.0360000000005</v>
          </cell>
          <cell r="D31">
            <v>12</v>
          </cell>
          <cell r="E31">
            <v>1.0464999999999999E-3</v>
          </cell>
          <cell r="F31" t="e">
            <v>#REF!</v>
          </cell>
        </row>
        <row r="32">
          <cell r="A32">
            <v>1761</v>
          </cell>
          <cell r="B32" t="str">
            <v>Rectangular Alto de 770ml 136X102X110Mm</v>
          </cell>
          <cell r="C32">
            <v>3091.5280000000002</v>
          </cell>
          <cell r="D32">
            <v>12</v>
          </cell>
          <cell r="E32">
            <v>1.468125E-3</v>
          </cell>
          <cell r="F32" t="e">
            <v>#REF!</v>
          </cell>
        </row>
        <row r="33">
          <cell r="A33">
            <v>1760</v>
          </cell>
          <cell r="B33" t="str">
            <v>Rectangular Alto de 1400ml 136X102X185Mm</v>
          </cell>
          <cell r="C33">
            <v>3579.6640000000002</v>
          </cell>
          <cell r="D33">
            <v>6</v>
          </cell>
          <cell r="E33">
            <v>2.5175000000000002E-3</v>
          </cell>
          <cell r="F33" t="e">
            <v>#REF!</v>
          </cell>
        </row>
        <row r="34">
          <cell r="A34">
            <v>1753</v>
          </cell>
          <cell r="B34" t="str">
            <v>Rectangular c/División de 730ml 207X137X57Mm</v>
          </cell>
          <cell r="C34">
            <v>3538.9859999999999</v>
          </cell>
          <cell r="D34">
            <v>12</v>
          </cell>
          <cell r="E34">
            <v>1.5708E-3</v>
          </cell>
          <cell r="F34"/>
        </row>
        <row r="35">
          <cell r="A35">
            <v>1752</v>
          </cell>
          <cell r="B35" t="str">
            <v>Rectangular  de 820ml 207X137X57Mm</v>
          </cell>
          <cell r="C35">
            <v>3416.9519999999998</v>
          </cell>
          <cell r="D35">
            <v>12</v>
          </cell>
          <cell r="E35">
            <v>1.5708E-3</v>
          </cell>
          <cell r="F35" t="e">
            <v>#REF!</v>
          </cell>
        </row>
        <row r="36">
          <cell r="A36">
            <v>1751</v>
          </cell>
          <cell r="B36" t="str">
            <v>Rectangular  de 1240ml 207X137X76Mm</v>
          </cell>
          <cell r="C36">
            <v>3742.3759999999997</v>
          </cell>
          <cell r="D36">
            <v>12</v>
          </cell>
          <cell r="E36">
            <v>2.21375E-3</v>
          </cell>
          <cell r="F36" t="e">
            <v>#REF!</v>
          </cell>
        </row>
        <row r="37">
          <cell r="A37">
            <v>1750</v>
          </cell>
          <cell r="B37" t="str">
            <v>Rectangular  de 2000ml 207X137X113Mm</v>
          </cell>
          <cell r="C37">
            <v>4393.2240000000002</v>
          </cell>
          <cell r="D37">
            <v>6</v>
          </cell>
          <cell r="E37">
            <v>3.542E-3</v>
          </cell>
          <cell r="F37" t="e">
            <v>#REF!</v>
          </cell>
        </row>
        <row r="38">
          <cell r="A38">
            <v>1742</v>
          </cell>
          <cell r="B38" t="str">
            <v>Rectangular  de 1600ml 253X174X62Mm</v>
          </cell>
          <cell r="C38">
            <v>4718.648000000001</v>
          </cell>
          <cell r="D38">
            <v>6</v>
          </cell>
          <cell r="E38">
            <v>2.8436750000000004E-3</v>
          </cell>
          <cell r="F38" t="e">
            <v>#REF!</v>
          </cell>
        </row>
        <row r="39">
          <cell r="A39" t="str">
            <v>1742/22</v>
          </cell>
          <cell r="B39" t="str">
            <v>Rectangular c/División de 1600ml 253X174X62Mm</v>
          </cell>
          <cell r="C39">
            <v>5369.4960000000001</v>
          </cell>
          <cell r="D39">
            <v>6</v>
          </cell>
          <cell r="E39">
            <v>2.843375E-3</v>
          </cell>
          <cell r="F39" t="e">
            <v>#REF!</v>
          </cell>
        </row>
        <row r="40">
          <cell r="A40">
            <v>1741</v>
          </cell>
          <cell r="B40" t="str">
            <v>Rectangular  de 2500ml 253X174X89Mm</v>
          </cell>
          <cell r="C40">
            <v>5044.072000000001</v>
          </cell>
          <cell r="D40">
            <v>6</v>
          </cell>
          <cell r="E40">
            <v>4.2087499999999998E-3</v>
          </cell>
          <cell r="F40" t="e">
            <v>#REF!</v>
          </cell>
        </row>
        <row r="41">
          <cell r="A41">
            <v>1740</v>
          </cell>
          <cell r="B41" t="str">
            <v>Rectangular  de 3500ml 253X174X122Mm</v>
          </cell>
          <cell r="C41">
            <v>5369.4960000000001</v>
          </cell>
          <cell r="D41">
            <v>6</v>
          </cell>
          <cell r="E41">
            <v>5.465625E-3</v>
          </cell>
          <cell r="F41" t="e">
            <v>#REF!</v>
          </cell>
        </row>
        <row r="42">
          <cell r="A42" t="str">
            <v>1741/21C</v>
          </cell>
          <cell r="B42" t="str">
            <v>Set x 3 Herméticos (1741+1751+1763)</v>
          </cell>
          <cell r="C42">
            <v>9844.0759999999991</v>
          </cell>
          <cell r="D42">
            <v>6</v>
          </cell>
          <cell r="E42">
            <v>4.2087499999999998E-3</v>
          </cell>
          <cell r="F42" t="e">
            <v>#REF!</v>
          </cell>
        </row>
        <row r="43">
          <cell r="A43"/>
          <cell r="B43" t="str">
            <v/>
          </cell>
          <cell r="C43"/>
          <cell r="D43"/>
          <cell r="F43" t="e">
            <v>#REF!</v>
          </cell>
        </row>
        <row r="44">
          <cell r="A44" t="str">
            <v>CÓDIGO</v>
          </cell>
          <cell r="B44" t="str">
            <v/>
          </cell>
          <cell r="C44" t="str">
            <v>PRECIO</v>
          </cell>
          <cell r="D44" t="str">
            <v>UxC</v>
          </cell>
          <cell r="F44" t="e">
            <v>#REF!</v>
          </cell>
        </row>
        <row r="45">
          <cell r="A45">
            <v>105</v>
          </cell>
          <cell r="B45" t="str">
            <v>Hermético Redondo de 230ml</v>
          </cell>
          <cell r="C45">
            <v>894.91600000000005</v>
          </cell>
          <cell r="D45">
            <v>24</v>
          </cell>
          <cell r="E45">
            <v>2.6643799999999997E-4</v>
          </cell>
          <cell r="F45" t="e">
            <v>#REF!</v>
          </cell>
        </row>
        <row r="46">
          <cell r="A46">
            <v>106</v>
          </cell>
          <cell r="B46" t="str">
            <v>Hermético Redondo de 440ml.</v>
          </cell>
          <cell r="C46">
            <v>1016.95</v>
          </cell>
          <cell r="D46">
            <v>12</v>
          </cell>
          <cell r="E46">
            <v>3.325E-4</v>
          </cell>
          <cell r="F46"/>
        </row>
        <row r="47">
          <cell r="A47">
            <v>107</v>
          </cell>
          <cell r="B47" t="str">
            <v>Hermético Redondo de 680ml</v>
          </cell>
          <cell r="C47">
            <v>1106.4415999999999</v>
          </cell>
          <cell r="D47">
            <v>12</v>
          </cell>
          <cell r="E47">
            <v>4.3225000000000002E-4</v>
          </cell>
          <cell r="F47"/>
        </row>
        <row r="48">
          <cell r="A48">
            <v>110</v>
          </cell>
          <cell r="B48" t="str">
            <v>Hermético Redondo de 620ml</v>
          </cell>
          <cell r="C48">
            <v>1448.1368</v>
          </cell>
          <cell r="D48">
            <v>12</v>
          </cell>
          <cell r="E48">
            <v>4.9687500000000003E-4</v>
          </cell>
          <cell r="F48"/>
        </row>
        <row r="49">
          <cell r="A49">
            <v>115</v>
          </cell>
          <cell r="B49" t="str">
            <v>Hermético Redondo 1,3 lts.</v>
          </cell>
          <cell r="C49">
            <v>1627.1200000000001</v>
          </cell>
          <cell r="D49">
            <v>12</v>
          </cell>
          <cell r="E49">
            <v>7.2173199999999999E-4</v>
          </cell>
          <cell r="F49"/>
        </row>
        <row r="50">
          <cell r="A50">
            <v>120</v>
          </cell>
          <cell r="B50" t="str">
            <v>Hermético Cuadrado 200ml</v>
          </cell>
          <cell r="C50">
            <v>813.56000000000006</v>
          </cell>
          <cell r="D50">
            <v>24</v>
          </cell>
          <cell r="E50">
            <v>1.8502699999999999E-4</v>
          </cell>
          <cell r="F50"/>
        </row>
        <row r="51">
          <cell r="A51">
            <v>122</v>
          </cell>
          <cell r="B51" t="str">
            <v>Hermético Cuadrado 360ml</v>
          </cell>
          <cell r="C51">
            <v>1390</v>
          </cell>
          <cell r="D51">
            <v>12</v>
          </cell>
          <cell r="E51">
            <v>2.9468300000000001E-4</v>
          </cell>
          <cell r="F51"/>
        </row>
        <row r="52">
          <cell r="A52">
            <v>124</v>
          </cell>
          <cell r="B52" t="str">
            <v>Hermético Cuadrado 530ml</v>
          </cell>
          <cell r="C52">
            <v>1420</v>
          </cell>
          <cell r="D52">
            <v>12</v>
          </cell>
          <cell r="E52">
            <v>4.3399999999999998E-4</v>
          </cell>
          <cell r="F52"/>
        </row>
        <row r="53">
          <cell r="A53">
            <v>125</v>
          </cell>
          <cell r="B53" t="str">
            <v>Hermético Cuadrado 800ml</v>
          </cell>
          <cell r="C53">
            <v>1420</v>
          </cell>
          <cell r="D53">
            <v>12</v>
          </cell>
          <cell r="E53">
            <v>4.7016699999999996E-4</v>
          </cell>
          <cell r="F53"/>
        </row>
        <row r="54">
          <cell r="A54" t="str">
            <v>125/C</v>
          </cell>
          <cell r="B54" t="str">
            <v>Set x 2 Piezas Cuadrados de 800ml</v>
          </cell>
          <cell r="C54">
            <v>2359.3240000000005</v>
          </cell>
          <cell r="D54">
            <v>12</v>
          </cell>
          <cell r="E54">
            <v>1.657333E-3</v>
          </cell>
          <cell r="F54"/>
        </row>
        <row r="55">
          <cell r="A55">
            <v>130</v>
          </cell>
          <cell r="B55" t="str">
            <v>Hermético Cuadrado 1,9 lts.</v>
          </cell>
          <cell r="C55">
            <v>1920.0016000000001</v>
          </cell>
          <cell r="D55">
            <v>12</v>
          </cell>
          <cell r="E55">
            <v>9.0950800000000006E-4</v>
          </cell>
          <cell r="F55"/>
        </row>
        <row r="56">
          <cell r="A56" t="str">
            <v>130/C</v>
          </cell>
          <cell r="B56" t="str">
            <v>Set de 3 Piezas (120+125+130)</v>
          </cell>
          <cell r="C56">
            <v>3978.3084000000008</v>
          </cell>
          <cell r="D56">
            <v>6</v>
          </cell>
          <cell r="E56">
            <v>3.2188329999999999E-3</v>
          </cell>
          <cell r="F56"/>
        </row>
        <row r="57">
          <cell r="A57">
            <v>146</v>
          </cell>
          <cell r="B57" t="str">
            <v>Hermético Cuadrado Alto 800ml</v>
          </cell>
          <cell r="C57">
            <v>1383.0520000000001</v>
          </cell>
          <cell r="D57">
            <v>12</v>
          </cell>
          <cell r="E57">
            <v>5.2757800000000001E-4</v>
          </cell>
          <cell r="F57"/>
        </row>
        <row r="58">
          <cell r="A58">
            <v>147</v>
          </cell>
          <cell r="B58" t="str">
            <v>Hermético Cuadrado Alto 1,7 lts.</v>
          </cell>
          <cell r="C58">
            <v>1635.2556</v>
          </cell>
          <cell r="D58">
            <v>12</v>
          </cell>
          <cell r="E58">
            <v>9.4359799999999992E-4</v>
          </cell>
          <cell r="F58"/>
        </row>
        <row r="59">
          <cell r="A59">
            <v>160</v>
          </cell>
          <cell r="B59" t="str">
            <v>Hermético Rectangular 0.300lts.</v>
          </cell>
          <cell r="C59">
            <v>1098.306</v>
          </cell>
          <cell r="D59">
            <v>24</v>
          </cell>
          <cell r="E59">
            <v>2.5707100000000005E-4</v>
          </cell>
          <cell r="F59"/>
        </row>
        <row r="60">
          <cell r="A60">
            <v>165</v>
          </cell>
          <cell r="B60" t="str">
            <v>Hermético Rectangular 0.800lts.</v>
          </cell>
          <cell r="C60">
            <v>1285.4248</v>
          </cell>
          <cell r="D60">
            <v>12</v>
          </cell>
          <cell r="E60">
            <v>5.5424300000000005E-4</v>
          </cell>
          <cell r="F60"/>
        </row>
        <row r="61">
          <cell r="A61">
            <v>170</v>
          </cell>
          <cell r="B61" t="str">
            <v>Hermético Rectangular 1.800lts.</v>
          </cell>
          <cell r="C61">
            <v>2107.1204000000002</v>
          </cell>
          <cell r="D61">
            <v>12</v>
          </cell>
          <cell r="E61">
            <v>1.0970999999999999E-3</v>
          </cell>
          <cell r="F61"/>
        </row>
        <row r="62">
          <cell r="A62" t="str">
            <v>170/C</v>
          </cell>
          <cell r="B62" t="str">
            <v>Set de 3 Piezas (160+165+170)</v>
          </cell>
          <cell r="C62">
            <v>4328.1391999999996</v>
          </cell>
          <cell r="D62">
            <v>6</v>
          </cell>
          <cell r="E62">
            <v>2.9835E-3</v>
          </cell>
          <cell r="F62"/>
        </row>
        <row r="63">
          <cell r="A63">
            <v>172</v>
          </cell>
          <cell r="B63" t="str">
            <v>Hermético Para Fiambres 1.400lts.</v>
          </cell>
          <cell r="C63">
            <v>2115.2559999999999</v>
          </cell>
          <cell r="D63">
            <v>12</v>
          </cell>
          <cell r="E63">
            <v>1.629375E-3</v>
          </cell>
          <cell r="F63"/>
        </row>
        <row r="64">
          <cell r="A64">
            <v>180</v>
          </cell>
          <cell r="B64" t="str">
            <v>Hermético Rectangular 0.600lts.</v>
          </cell>
          <cell r="C64">
            <v>1130.8483999999999</v>
          </cell>
          <cell r="D64">
            <v>12</v>
          </cell>
          <cell r="E64">
            <v>3.6975000000000002E-4</v>
          </cell>
          <cell r="F64" t="e">
            <v>#REF!</v>
          </cell>
        </row>
        <row r="65">
          <cell r="A65">
            <v>185</v>
          </cell>
          <cell r="B65" t="str">
            <v>Hermético Rectangular 1.400lts.</v>
          </cell>
          <cell r="C65">
            <v>1537.6283999999998</v>
          </cell>
          <cell r="D65">
            <v>12</v>
          </cell>
          <cell r="E65">
            <v>6.186369999999999E-4</v>
          </cell>
          <cell r="F65" t="e">
            <v>#REF!</v>
          </cell>
        </row>
        <row r="66">
          <cell r="A66">
            <v>190</v>
          </cell>
          <cell r="B66" t="str">
            <v>Hermético Rectangular 3.200lts.</v>
          </cell>
          <cell r="C66">
            <v>2448.8155999999999</v>
          </cell>
          <cell r="D66">
            <v>12</v>
          </cell>
          <cell r="E66">
            <v>1.3439999999999999E-3</v>
          </cell>
          <cell r="F66" t="e">
            <v>#REF!</v>
          </cell>
        </row>
        <row r="67">
          <cell r="A67" t="str">
            <v>190/C</v>
          </cell>
          <cell r="B67" t="str">
            <v>Set x 3 Piezas (180+185+190)</v>
          </cell>
          <cell r="C67">
            <v>4873.2244000000001</v>
          </cell>
          <cell r="D67">
            <v>6</v>
          </cell>
          <cell r="E67">
            <v>5.1749999999999999E-3</v>
          </cell>
          <cell r="F67" t="e">
            <v>#REF!</v>
          </cell>
        </row>
        <row r="68">
          <cell r="A68"/>
          <cell r="B68" t="str">
            <v>Packs Promocionales y Ferias de Precios</v>
          </cell>
          <cell r="C68"/>
          <cell r="D68"/>
          <cell r="F68" t="e">
            <v>#REF!</v>
          </cell>
        </row>
        <row r="69">
          <cell r="A69" t="str">
            <v>160/7</v>
          </cell>
          <cell r="B69" t="str">
            <v>Pack "Lleve 8 Pague 7" Rectang. 0.30lts.</v>
          </cell>
          <cell r="C69">
            <v>6427.1239999999998</v>
          </cell>
          <cell r="D69">
            <v>12</v>
          </cell>
          <cell r="E69">
            <v>1.9120000000000001E-3</v>
          </cell>
          <cell r="F69" t="e">
            <v>#REF!</v>
          </cell>
        </row>
        <row r="70">
          <cell r="A70" t="str">
            <v>165/7</v>
          </cell>
          <cell r="B70" t="str">
            <v>Pack"Lleve 6 Pague 5" Rectang. 0.80lts.</v>
          </cell>
          <cell r="C70">
            <v>6833.9039999999995</v>
          </cell>
          <cell r="D70">
            <v>12</v>
          </cell>
          <cell r="E70">
            <v>3.5775E-3</v>
          </cell>
          <cell r="F70" t="e">
            <v>#REF!</v>
          </cell>
        </row>
        <row r="71">
          <cell r="A71" t="str">
            <v>170/7</v>
          </cell>
          <cell r="B71" t="str">
            <v>Pack "Lleve 4 Pague 3" Rectangu. 1.8lts.</v>
          </cell>
          <cell r="C71">
            <v>7322.04</v>
          </cell>
          <cell r="D71">
            <v>12</v>
          </cell>
          <cell r="E71">
            <v>5.8859999999999997E-3</v>
          </cell>
          <cell r="F71" t="e">
            <v>#REF!</v>
          </cell>
        </row>
        <row r="72">
          <cell r="A72" t="str">
            <v>180/7</v>
          </cell>
          <cell r="B72" t="str">
            <v>Pack "Lleve 5 Pague 4" Rectang. 0.60lts.</v>
          </cell>
          <cell r="C72">
            <v>4149.1559999999999</v>
          </cell>
          <cell r="D72">
            <v>12</v>
          </cell>
          <cell r="E72">
            <v>1.7930999999999999E-3</v>
          </cell>
          <cell r="F72" t="e">
            <v>#REF!</v>
          </cell>
        </row>
        <row r="73">
          <cell r="A73">
            <v>684</v>
          </cell>
          <cell r="B73" t="str">
            <v>Vianda Sandwichera 13X13X4,5cm.</v>
          </cell>
          <cell r="C73">
            <v>1529.4928000000002</v>
          </cell>
          <cell r="D73">
            <v>12</v>
          </cell>
          <cell r="E73">
            <v>9.6296200000000004E-4</v>
          </cell>
        </row>
        <row r="74">
          <cell r="A74">
            <v>685</v>
          </cell>
          <cell r="B74" t="str">
            <v>Vianda Sandwichera Doble 13X14X8,5cm.</v>
          </cell>
          <cell r="C74">
            <v>2237.29</v>
          </cell>
          <cell r="D74">
            <v>12</v>
          </cell>
          <cell r="E74">
            <v>1.824083E-3</v>
          </cell>
        </row>
        <row r="75">
          <cell r="A75">
            <v>686</v>
          </cell>
          <cell r="B75" t="str">
            <v>Porta Huevos x 12</v>
          </cell>
          <cell r="C75">
            <v>2123.3916000000004</v>
          </cell>
          <cell r="D75">
            <v>6</v>
          </cell>
          <cell r="E75">
            <v>2.291183E-3</v>
          </cell>
        </row>
        <row r="76">
          <cell r="A76">
            <v>687</v>
          </cell>
          <cell r="B76" t="str">
            <v>Porta Cepillo de Dientes</v>
          </cell>
          <cell r="C76">
            <v>1472.5436</v>
          </cell>
          <cell r="D76">
            <v>12</v>
          </cell>
          <cell r="E76">
            <v>7.6081299999999994E-4</v>
          </cell>
        </row>
        <row r="77">
          <cell r="A77">
            <v>688</v>
          </cell>
          <cell r="B77" t="str">
            <v xml:space="preserve">Pastillero Dia y Noche             </v>
          </cell>
          <cell r="C77">
            <v>1627.1200000000001</v>
          </cell>
          <cell r="D77">
            <v>12</v>
          </cell>
          <cell r="E77">
            <v>4.148E-4</v>
          </cell>
        </row>
        <row r="78">
          <cell r="A78">
            <v>689</v>
          </cell>
          <cell r="B78" t="str">
            <v xml:space="preserve">Pastillero y Organizador       </v>
          </cell>
          <cell r="C78">
            <v>2318.6459999999997</v>
          </cell>
          <cell r="D78">
            <v>12</v>
          </cell>
          <cell r="E78">
            <v>7.6533299999999999E-4</v>
          </cell>
        </row>
        <row r="79">
          <cell r="A79">
            <v>693</v>
          </cell>
          <cell r="B79" t="str">
            <v>Hermético Para Ajos 0,165lts.</v>
          </cell>
          <cell r="C79">
            <v>1138.9839999999999</v>
          </cell>
          <cell r="D79">
            <v>12</v>
          </cell>
          <cell r="E79">
            <v>3.2650000000000002E-4</v>
          </cell>
        </row>
        <row r="80">
          <cell r="A80">
            <v>694</v>
          </cell>
          <cell r="B80" t="str">
            <v>Hermético P/ Fideos 1 litro (7.4X7.4X27.7cm)</v>
          </cell>
          <cell r="C80">
            <v>1553.8996000000002</v>
          </cell>
          <cell r="D80">
            <v>12</v>
          </cell>
          <cell r="E80">
            <v>1.3475E-3</v>
          </cell>
        </row>
        <row r="81">
          <cell r="A81">
            <v>697</v>
          </cell>
          <cell r="B81" t="str">
            <v>Hermético Para Cebollas 0,400lts.</v>
          </cell>
          <cell r="C81">
            <v>1553.8996000000002</v>
          </cell>
          <cell r="D81">
            <v>12</v>
          </cell>
          <cell r="E81">
            <v>7.5500000000000003E-4</v>
          </cell>
        </row>
        <row r="82">
          <cell r="A82" t="str">
            <v>697/1</v>
          </cell>
          <cell r="B82" t="str">
            <v>Hermético Para Tomates 0,400lts.</v>
          </cell>
          <cell r="C82">
            <v>1553.8996000000002</v>
          </cell>
          <cell r="D82">
            <v>12</v>
          </cell>
          <cell r="E82">
            <v>7.5500000000000003E-4</v>
          </cell>
        </row>
        <row r="83">
          <cell r="A83">
            <v>681</v>
          </cell>
          <cell r="B83" t="str">
            <v>Set x 3 Herméticos Para Conservar</v>
          </cell>
          <cell r="C83">
            <v>2359.3240000000005</v>
          </cell>
          <cell r="D83">
            <v>12</v>
          </cell>
          <cell r="E83">
            <v>7.5500000000000003E-4</v>
          </cell>
        </row>
        <row r="84">
          <cell r="A84">
            <v>695</v>
          </cell>
          <cell r="B84" t="str">
            <v>Galletitero 600ml. (7,4X18.7cm)</v>
          </cell>
          <cell r="C84">
            <v>1415.5944</v>
          </cell>
          <cell r="D84">
            <v>12</v>
          </cell>
          <cell r="E84">
            <v>9.1441700000000005E-4</v>
          </cell>
        </row>
        <row r="85">
          <cell r="A85">
            <v>698</v>
          </cell>
          <cell r="B85" t="str">
            <v>Cerealero 800ml. (10X11.4cm)</v>
          </cell>
          <cell r="C85">
            <v>1838.6456000000001</v>
          </cell>
          <cell r="D85">
            <v>12</v>
          </cell>
          <cell r="E85">
            <v>1.230421E-3</v>
          </cell>
        </row>
        <row r="86">
          <cell r="A86">
            <v>699</v>
          </cell>
          <cell r="B86" t="str">
            <v>Galletitero 1 Litro (10.2X10.2Xx17.4cm)</v>
          </cell>
          <cell r="C86">
            <v>1765.4252000000001</v>
          </cell>
          <cell r="D86">
            <v>12</v>
          </cell>
          <cell r="E86">
            <v>1.8500000000000001E-3</v>
          </cell>
        </row>
        <row r="87">
          <cell r="A87">
            <v>700</v>
          </cell>
          <cell r="B87" t="str">
            <v>Galletitero 1,7 Litros (10.2X10.2Xx25cm)</v>
          </cell>
          <cell r="C87">
            <v>2017.6288</v>
          </cell>
          <cell r="D87">
            <v>12</v>
          </cell>
          <cell r="E87">
            <v>2.444833E-3</v>
          </cell>
        </row>
        <row r="88">
          <cell r="A88">
            <v>435</v>
          </cell>
          <cell r="B88" t="str">
            <v>Caramelera Mediana 2,200 Litros</v>
          </cell>
          <cell r="C88">
            <v>3042.7143999999998</v>
          </cell>
          <cell r="D88">
            <v>12</v>
          </cell>
          <cell r="E88">
            <v>3.3930000000000002E-3</v>
          </cell>
        </row>
        <row r="89">
          <cell r="A89">
            <v>441</v>
          </cell>
          <cell r="B89" t="str">
            <v>Potes Hermeticos 1000ml.c/Tapa a Rosca</v>
          </cell>
          <cell r="C89">
            <v>2017.6288</v>
          </cell>
          <cell r="D89">
            <v>12</v>
          </cell>
          <cell r="E89">
            <v>1.82E-3</v>
          </cell>
        </row>
        <row r="90">
          <cell r="A90">
            <v>442</v>
          </cell>
          <cell r="B90" t="str">
            <v>Potes Hermeticos 2100ml.c/Tapa a Rosca</v>
          </cell>
          <cell r="C90">
            <v>3506.4435999999996</v>
          </cell>
          <cell r="D90">
            <v>6</v>
          </cell>
          <cell r="E90">
            <v>3.5152E-3</v>
          </cell>
        </row>
        <row r="91">
          <cell r="A91">
            <v>446</v>
          </cell>
          <cell r="B91" t="str">
            <v>Potes Hermeticos   680ml.c/Tapa a Rosca</v>
          </cell>
          <cell r="C91">
            <v>1863.0524</v>
          </cell>
          <cell r="D91">
            <v>12</v>
          </cell>
          <cell r="E91">
            <v>1.2600000000000001E-3</v>
          </cell>
        </row>
        <row r="92">
          <cell r="A92">
            <v>447</v>
          </cell>
          <cell r="B92" t="str">
            <v xml:space="preserve">Potes Hermeticos  1400ml.c/Tapa a Rosca </v>
          </cell>
          <cell r="C92">
            <v>3034.5787999999998</v>
          </cell>
          <cell r="D92">
            <v>6</v>
          </cell>
          <cell r="E92">
            <v>2.4115E-3</v>
          </cell>
        </row>
        <row r="93">
          <cell r="A93"/>
          <cell r="B93" t="str">
            <v/>
          </cell>
          <cell r="C93"/>
          <cell r="D93"/>
        </row>
        <row r="94">
          <cell r="A94">
            <v>360</v>
          </cell>
          <cell r="B94" t="str">
            <v xml:space="preserve">Rectangular Chico 0,82 lts. </v>
          </cell>
          <cell r="C94">
            <v>1806.1032</v>
          </cell>
          <cell r="D94">
            <v>12</v>
          </cell>
          <cell r="E94">
            <v>5.5630800000000004E-4</v>
          </cell>
        </row>
        <row r="95">
          <cell r="A95">
            <v>365</v>
          </cell>
          <cell r="B95" t="str">
            <v>Rectangular Mediano 1,80 lts.</v>
          </cell>
          <cell r="C95">
            <v>2855.5956000000006</v>
          </cell>
          <cell r="D95">
            <v>12</v>
          </cell>
          <cell r="E95">
            <v>9.2862499999999998E-4</v>
          </cell>
        </row>
        <row r="96">
          <cell r="A96">
            <v>370</v>
          </cell>
          <cell r="B96" t="str">
            <v>Rectangular Grande 3,60 lts.</v>
          </cell>
          <cell r="C96">
            <v>3791.1895999999997</v>
          </cell>
          <cell r="D96">
            <v>6</v>
          </cell>
          <cell r="E96">
            <v>1.8745999999999999E-3</v>
          </cell>
        </row>
        <row r="97">
          <cell r="A97" t="str">
            <v>370/C</v>
          </cell>
          <cell r="B97" t="str">
            <v>Set x 3 Herméticos Rect. (360+365+370)</v>
          </cell>
          <cell r="C97">
            <v>7777.6335999999992</v>
          </cell>
          <cell r="D97">
            <v>6</v>
          </cell>
          <cell r="E97">
            <v>5.0166670000000007E-3</v>
          </cell>
        </row>
        <row r="98">
          <cell r="A98">
            <v>371</v>
          </cell>
          <cell r="B98" t="str">
            <v>Snack Box Con Divisiones 1,080 lts.</v>
          </cell>
          <cell r="C98">
            <v>2806.7820000000002</v>
          </cell>
          <cell r="D98">
            <v>12</v>
          </cell>
          <cell r="E98">
            <v>2.081977E-3</v>
          </cell>
        </row>
        <row r="99">
          <cell r="A99">
            <v>380</v>
          </cell>
          <cell r="B99" t="str">
            <v>Rectangular Alto Chico 1,30 lts.</v>
          </cell>
          <cell r="C99">
            <v>2188.4764</v>
          </cell>
          <cell r="D99">
            <v>12</v>
          </cell>
          <cell r="E99">
            <v>6.4771700000000002E-4</v>
          </cell>
        </row>
        <row r="100">
          <cell r="A100">
            <v>385</v>
          </cell>
          <cell r="B100" t="str">
            <v>Rectangular Alto Mediano 2,80 lts.</v>
          </cell>
          <cell r="C100">
            <v>3197.2908000000002</v>
          </cell>
          <cell r="D100">
            <v>12</v>
          </cell>
          <cell r="E100">
            <v>1.0534329999999999E-3</v>
          </cell>
        </row>
        <row r="101">
          <cell r="A101">
            <v>390</v>
          </cell>
          <cell r="B101" t="str">
            <v>Rectangular Alto Grande 5,20 lts.</v>
          </cell>
          <cell r="C101">
            <v>4474.58</v>
          </cell>
          <cell r="D101">
            <v>6</v>
          </cell>
          <cell r="E101">
            <v>2.309775E-3</v>
          </cell>
        </row>
        <row r="102">
          <cell r="A102" t="str">
            <v>390/2C</v>
          </cell>
          <cell r="B102" t="str">
            <v>Set x 3 Herméticos Rect. (380+385+390)</v>
          </cell>
          <cell r="C102">
            <v>9111.8719999999994</v>
          </cell>
          <cell r="D102">
            <v>6</v>
          </cell>
          <cell r="E102">
            <v>7.4433329999999999E-3</v>
          </cell>
        </row>
        <row r="103">
          <cell r="A103">
            <v>395</v>
          </cell>
          <cell r="B103" t="str">
            <v>Rectangular  Grande 6,1 lts. 31X31X9cm</v>
          </cell>
          <cell r="C103">
            <v>6101.7000000000007</v>
          </cell>
          <cell r="D103">
            <v>6</v>
          </cell>
          <cell r="E103">
            <v>3.7368000000000002E-3</v>
          </cell>
        </row>
        <row r="104">
          <cell r="A104">
            <v>450</v>
          </cell>
          <cell r="B104" t="str">
            <v>Cuadrado Chico 0,58 lts.</v>
          </cell>
          <cell r="C104">
            <v>1749.154</v>
          </cell>
          <cell r="D104">
            <v>12</v>
          </cell>
          <cell r="E104">
            <v>5.1800000000000001E-4</v>
          </cell>
        </row>
        <row r="105">
          <cell r="A105">
            <v>455</v>
          </cell>
          <cell r="B105" t="str">
            <v>Cuadrado Mediano 1,50 lts.</v>
          </cell>
          <cell r="C105">
            <v>2644.07</v>
          </cell>
          <cell r="D105">
            <v>12</v>
          </cell>
          <cell r="E105">
            <v>6.78854E-4</v>
          </cell>
        </row>
        <row r="106">
          <cell r="A106">
            <v>460</v>
          </cell>
          <cell r="B106" t="str">
            <v>Cuadrado Grande 2,90 lts.</v>
          </cell>
          <cell r="C106">
            <v>3441.3588</v>
          </cell>
          <cell r="D106">
            <v>6</v>
          </cell>
          <cell r="E106">
            <v>1.5839999999999999E-3</v>
          </cell>
        </row>
        <row r="107">
          <cell r="A107" t="str">
            <v>460/C</v>
          </cell>
          <cell r="B107" t="str">
            <v>Setx 3 Herm. Cuadrados (450+455+460)</v>
          </cell>
          <cell r="C107">
            <v>6793.2260000000006</v>
          </cell>
          <cell r="D107">
            <v>6</v>
          </cell>
          <cell r="E107">
            <v>4.7156670000000006E-3</v>
          </cell>
        </row>
        <row r="108">
          <cell r="A108">
            <v>470</v>
          </cell>
          <cell r="B108" t="str">
            <v>Cuadrado Alto Chico 1,20 lts.</v>
          </cell>
          <cell r="C108">
            <v>1871.1879999999999</v>
          </cell>
          <cell r="D108">
            <v>12</v>
          </cell>
          <cell r="E108">
            <v>6.0749999999999997E-4</v>
          </cell>
        </row>
        <row r="109">
          <cell r="A109">
            <v>475</v>
          </cell>
          <cell r="B109" t="str">
            <v>Cuadrado Alto Mediano 1,95 lts.</v>
          </cell>
          <cell r="C109">
            <v>2383.7307999999998</v>
          </cell>
          <cell r="D109">
            <v>12</v>
          </cell>
          <cell r="E109">
            <v>1.0847809999999999E-3</v>
          </cell>
        </row>
        <row r="110">
          <cell r="A110">
            <v>480</v>
          </cell>
          <cell r="B110" t="str">
            <v>Cuadrado Alto Grande 3,88 lts.</v>
          </cell>
          <cell r="C110">
            <v>3042.7143999999998</v>
          </cell>
          <cell r="D110">
            <v>6</v>
          </cell>
          <cell r="E110">
            <v>1.832747E-3</v>
          </cell>
        </row>
        <row r="111">
          <cell r="A111">
            <v>545</v>
          </cell>
          <cell r="B111" t="str">
            <v>Redondo Chico 0,64 lts.</v>
          </cell>
          <cell r="C111">
            <v>1537.6283999999998</v>
          </cell>
          <cell r="D111">
            <v>12</v>
          </cell>
          <cell r="E111">
            <v>5.0960000000000003E-4</v>
          </cell>
        </row>
        <row r="112">
          <cell r="A112">
            <v>550</v>
          </cell>
          <cell r="B112" t="str">
            <v>Redondo Mediano 1,58 lts.</v>
          </cell>
          <cell r="C112">
            <v>2440.6799999999998</v>
          </cell>
          <cell r="D112">
            <v>12</v>
          </cell>
          <cell r="E112">
            <v>9.5666600000000001E-4</v>
          </cell>
        </row>
        <row r="113">
          <cell r="A113">
            <v>555</v>
          </cell>
          <cell r="B113" t="str">
            <v>Redondo Grande 2,74 lts.</v>
          </cell>
          <cell r="C113">
            <v>3652.8843999999999</v>
          </cell>
          <cell r="D113">
            <v>6</v>
          </cell>
          <cell r="E113">
            <v>1.878333E-3</v>
          </cell>
        </row>
        <row r="114">
          <cell r="A114">
            <v>560</v>
          </cell>
          <cell r="B114" t="str">
            <v>Redondo Super Grande 5,24 lts.</v>
          </cell>
          <cell r="C114">
            <v>4328.1391999999996</v>
          </cell>
          <cell r="D114">
            <v>6</v>
          </cell>
          <cell r="E114">
            <v>2.8746660000000001E-3</v>
          </cell>
        </row>
        <row r="115">
          <cell r="A115">
            <v>495</v>
          </cell>
          <cell r="B115" t="str">
            <v>Organizador de Tapas</v>
          </cell>
          <cell r="C115">
            <v>3506.4435999999996</v>
          </cell>
          <cell r="D115">
            <v>12</v>
          </cell>
          <cell r="E115">
            <v>6.3860000000000002E-4</v>
          </cell>
        </row>
        <row r="116">
          <cell r="A116">
            <v>780</v>
          </cell>
          <cell r="B116" t="str">
            <v>Jarra Oval Con Tapa 1,30 lts.</v>
          </cell>
          <cell r="C116">
            <v>3083.3924000000002</v>
          </cell>
          <cell r="D116">
            <v>12</v>
          </cell>
          <cell r="E116">
            <v>2.5008750000000001E-3</v>
          </cell>
        </row>
        <row r="117">
          <cell r="A117">
            <v>785</v>
          </cell>
          <cell r="B117" t="str">
            <v>Jarra Oval Con Tapa 2,00 lts.</v>
          </cell>
          <cell r="C117">
            <v>3815.5963999999999</v>
          </cell>
          <cell r="D117">
            <v>12</v>
          </cell>
          <cell r="E117">
            <v>3.1849999999999999E-3</v>
          </cell>
        </row>
        <row r="118">
          <cell r="A118">
            <v>786</v>
          </cell>
          <cell r="B118" t="str">
            <v>Vaso Con Asa 0,450 Litros</v>
          </cell>
          <cell r="C118">
            <v>1440.0011999999999</v>
          </cell>
          <cell r="D118">
            <v>12</v>
          </cell>
          <cell r="E118">
            <v>7.9114599999999995E-4</v>
          </cell>
        </row>
        <row r="119">
          <cell r="A119">
            <v>787</v>
          </cell>
          <cell r="B119" t="str">
            <v>Pack x 4 Vasos 270ml.</v>
          </cell>
          <cell r="C119">
            <v>2107.1204000000002</v>
          </cell>
          <cell r="D119">
            <v>12</v>
          </cell>
          <cell r="E119">
            <v>6.3699999999999998E-4</v>
          </cell>
        </row>
        <row r="120">
          <cell r="A120">
            <v>790</v>
          </cell>
          <cell r="B120" t="str">
            <v>Jarra Redonda Con Tapa 2,00 lts.</v>
          </cell>
          <cell r="C120">
            <v>3335.5960000000005</v>
          </cell>
          <cell r="D120">
            <v>12</v>
          </cell>
          <cell r="E120">
            <v>3.8496250000000002E-3</v>
          </cell>
        </row>
        <row r="121">
          <cell r="A121">
            <v>791</v>
          </cell>
          <cell r="B121" t="str">
            <v>Jarra Redonda Con Tapa 1,00 lts.</v>
          </cell>
          <cell r="C121">
            <v>2644.07</v>
          </cell>
          <cell r="D121">
            <v>12</v>
          </cell>
          <cell r="E121">
            <v>2.188958E-3</v>
          </cell>
        </row>
        <row r="122">
          <cell r="A122">
            <v>793</v>
          </cell>
          <cell r="B122" t="str">
            <v>Jarra Exprimidor 1,00 lts.</v>
          </cell>
          <cell r="C122">
            <v>3164.7483999999999</v>
          </cell>
          <cell r="D122">
            <v>12</v>
          </cell>
          <cell r="E122">
            <v>2.0266870000000001E-3</v>
          </cell>
        </row>
        <row r="123">
          <cell r="A123" t="str">
            <v>450/7</v>
          </cell>
          <cell r="B123" t="str">
            <v>Pack Promocional Lleve 4 y Pague 3</v>
          </cell>
          <cell r="C123">
            <v>5369.4960000000001</v>
          </cell>
          <cell r="D123">
            <v>12</v>
          </cell>
          <cell r="E123">
            <v>2.3703750000000001E-3</v>
          </cell>
        </row>
        <row r="124">
          <cell r="A124" t="str">
            <v>455/7</v>
          </cell>
          <cell r="B124" t="str">
            <v>Pack Promocional Lleve 3 y Pague 2</v>
          </cell>
          <cell r="C124">
            <v>5938.9879999999994</v>
          </cell>
          <cell r="D124">
            <v>12</v>
          </cell>
          <cell r="E124">
            <v>3.6096979999999997E-3</v>
          </cell>
        </row>
        <row r="125">
          <cell r="A125"/>
          <cell r="B125" t="str">
            <v/>
          </cell>
          <cell r="C125"/>
          <cell r="D125"/>
        </row>
        <row r="126">
          <cell r="A126">
            <v>502</v>
          </cell>
          <cell r="B126" t="str">
            <v>Regadera 2 Litros</v>
          </cell>
          <cell r="C126">
            <v>4068</v>
          </cell>
          <cell r="D126">
            <v>12</v>
          </cell>
          <cell r="E126">
            <v>4.5061249999999997E-3</v>
          </cell>
        </row>
        <row r="127">
          <cell r="A127">
            <v>507</v>
          </cell>
          <cell r="B127" t="str">
            <v>Regadera Con Lluvia 7 Litros</v>
          </cell>
          <cell r="C127">
            <v>8624</v>
          </cell>
          <cell r="D127">
            <v>6</v>
          </cell>
          <cell r="E127">
            <v>1.4451667E-2</v>
          </cell>
        </row>
        <row r="128">
          <cell r="A128">
            <v>514</v>
          </cell>
          <cell r="B128" t="str">
            <v>Regadera Con Lluvia 14 Litros</v>
          </cell>
          <cell r="C128">
            <v>13668</v>
          </cell>
          <cell r="D128">
            <v>4</v>
          </cell>
          <cell r="E128">
            <v>2.7785625000000001E-2</v>
          </cell>
        </row>
        <row r="129">
          <cell r="A129"/>
          <cell r="B129" t="str">
            <v/>
          </cell>
          <cell r="C129"/>
          <cell r="D129"/>
        </row>
        <row r="130">
          <cell r="A130">
            <v>703</v>
          </cell>
          <cell r="B130" t="str">
            <v>Redondo Chico Alto 480ml. Azul</v>
          </cell>
          <cell r="C130">
            <v>1863.0524</v>
          </cell>
          <cell r="D130">
            <v>12</v>
          </cell>
          <cell r="E130">
            <v>4.73E-4</v>
          </cell>
        </row>
        <row r="131">
          <cell r="A131" t="str">
            <v>703/57</v>
          </cell>
          <cell r="B131" t="str">
            <v>Redondo Chico Alto 480ml. Rosa</v>
          </cell>
          <cell r="C131">
            <v>1863.0524</v>
          </cell>
          <cell r="D131">
            <v>12</v>
          </cell>
          <cell r="E131">
            <v>4.73E-4</v>
          </cell>
        </row>
        <row r="132">
          <cell r="A132">
            <v>704</v>
          </cell>
          <cell r="B132" t="str">
            <v>Redondo Mediano 1100ml. Azul</v>
          </cell>
          <cell r="C132">
            <v>2684.748</v>
          </cell>
          <cell r="D132">
            <v>12</v>
          </cell>
          <cell r="E132">
            <v>2.1137500000000002E-3</v>
          </cell>
        </row>
        <row r="133">
          <cell r="A133" t="str">
            <v>704/57</v>
          </cell>
          <cell r="B133" t="str">
            <v>Redondo Mediano 1100ml. Rosa</v>
          </cell>
          <cell r="C133">
            <v>2684.748</v>
          </cell>
          <cell r="D133">
            <v>12</v>
          </cell>
          <cell r="E133">
            <v>2.1137500000000002E-3</v>
          </cell>
        </row>
        <row r="134">
          <cell r="A134">
            <v>706</v>
          </cell>
          <cell r="B134" t="str">
            <v>Redondo Grande 3200ml. Azul</v>
          </cell>
          <cell r="C134">
            <v>4596.6140000000005</v>
          </cell>
          <cell r="D134">
            <v>6</v>
          </cell>
          <cell r="E134">
            <v>5.6833329999999996E-3</v>
          </cell>
        </row>
        <row r="135">
          <cell r="A135" t="str">
            <v>706/57</v>
          </cell>
          <cell r="B135" t="str">
            <v>Redondo Grande 3200ml. Rosa</v>
          </cell>
          <cell r="C135">
            <v>4596.6140000000005</v>
          </cell>
          <cell r="D135">
            <v>6</v>
          </cell>
          <cell r="E135">
            <v>5.6833300000000003E-3</v>
          </cell>
        </row>
        <row r="136">
          <cell r="A136" t="str">
            <v>706/C</v>
          </cell>
          <cell r="B136" t="str">
            <v>Set x 3 Redondos (702+704+706) Azul</v>
          </cell>
          <cell r="C136">
            <v>8257.634</v>
          </cell>
          <cell r="D136">
            <v>6</v>
          </cell>
          <cell r="E136">
            <v>5.6833329999999996E-3</v>
          </cell>
        </row>
        <row r="137">
          <cell r="A137" t="str">
            <v>706/57/C</v>
          </cell>
          <cell r="B137" t="str">
            <v>Set x 3 Redondos (702+704+706) Rosa</v>
          </cell>
          <cell r="C137">
            <v>8257.634</v>
          </cell>
          <cell r="D137">
            <v>6</v>
          </cell>
          <cell r="E137">
            <v>5.6833300000000003E-3</v>
          </cell>
        </row>
        <row r="138">
          <cell r="A138">
            <v>707</v>
          </cell>
          <cell r="B138" t="str">
            <v>Cuadrado Bajo Chico  280ml. Azul</v>
          </cell>
          <cell r="C138">
            <v>1545.7640000000001</v>
          </cell>
          <cell r="D138">
            <v>12</v>
          </cell>
          <cell r="E138">
            <v>2.9895800000000005E-4</v>
          </cell>
        </row>
        <row r="139">
          <cell r="A139" t="str">
            <v>707/57</v>
          </cell>
          <cell r="B139" t="str">
            <v>Cuadrado Bajo Chico  280ml. Rosa</v>
          </cell>
          <cell r="C139">
            <v>1545.7640000000001</v>
          </cell>
          <cell r="D139">
            <v>12</v>
          </cell>
          <cell r="E139">
            <v>2.9895800000000005E-4</v>
          </cell>
        </row>
        <row r="140">
          <cell r="A140">
            <v>709</v>
          </cell>
          <cell r="B140" t="str">
            <v>Cuadrado Bajo Mediano 920ml. Azul</v>
          </cell>
          <cell r="C140">
            <v>2603.3919999999998</v>
          </cell>
          <cell r="D140">
            <v>12</v>
          </cell>
          <cell r="E140">
            <v>1.723083E-3</v>
          </cell>
        </row>
        <row r="141">
          <cell r="A141" t="str">
            <v>709/57</v>
          </cell>
          <cell r="B141" t="str">
            <v>Cuadrado Bajo Mediano 920ml. Rosa</v>
          </cell>
          <cell r="C141">
            <v>2603.3919999999998</v>
          </cell>
          <cell r="D141">
            <v>12</v>
          </cell>
          <cell r="E141">
            <v>1.7230799999999999E-3</v>
          </cell>
        </row>
        <row r="142">
          <cell r="A142">
            <v>712</v>
          </cell>
          <cell r="B142" t="str">
            <v>Cuadrado Bajo Gde 2700ml.  Azul</v>
          </cell>
          <cell r="C142">
            <v>4840.6820000000007</v>
          </cell>
          <cell r="D142">
            <v>6</v>
          </cell>
          <cell r="E142">
            <v>5.0293329999999995E-3</v>
          </cell>
        </row>
        <row r="143">
          <cell r="A143" t="str">
            <v>712/57</v>
          </cell>
          <cell r="B143" t="str">
            <v>Cuadrado Bajo Gde 2700ml. Rosa</v>
          </cell>
          <cell r="C143">
            <v>4840.6820000000007</v>
          </cell>
          <cell r="D143">
            <v>6</v>
          </cell>
          <cell r="E143">
            <v>5.0293300000000003E-3</v>
          </cell>
        </row>
        <row r="144">
          <cell r="A144" t="str">
            <v>712/C</v>
          </cell>
          <cell r="B144" t="str">
            <v>Set X3 Cuadrados (707+709+712) Azul</v>
          </cell>
          <cell r="C144">
            <v>8257.634</v>
          </cell>
          <cell r="D144">
            <v>6</v>
          </cell>
          <cell r="E144">
            <v>5.0293329999999995E-3</v>
          </cell>
        </row>
        <row r="145">
          <cell r="A145" t="str">
            <v>712/57/C</v>
          </cell>
          <cell r="B145" t="str">
            <v>Set X3 Cuadrados (707+709+712) Rosa</v>
          </cell>
          <cell r="C145">
            <v>8257.634</v>
          </cell>
          <cell r="D145">
            <v>6</v>
          </cell>
          <cell r="E145">
            <v>5.0293300000000003E-3</v>
          </cell>
        </row>
        <row r="146">
          <cell r="A146">
            <v>708</v>
          </cell>
          <cell r="B146" t="str">
            <v>Cuadrado Alto Chico 450ml. Azul</v>
          </cell>
          <cell r="C146">
            <v>1911.866</v>
          </cell>
          <cell r="D146">
            <v>12</v>
          </cell>
          <cell r="E146">
            <v>3.6400000000000001E-4</v>
          </cell>
        </row>
        <row r="147">
          <cell r="A147" t="str">
            <v>708/57</v>
          </cell>
          <cell r="B147" t="str">
            <v>Cuadrado Alto Chico 450ml. Rosa</v>
          </cell>
          <cell r="C147">
            <v>1911.866</v>
          </cell>
          <cell r="D147">
            <v>12</v>
          </cell>
          <cell r="E147">
            <v>3.6400000000000001E-4</v>
          </cell>
        </row>
        <row r="148">
          <cell r="A148">
            <v>711</v>
          </cell>
          <cell r="B148" t="str">
            <v>Cuadrado Alto Mediano 1600ml. Azul</v>
          </cell>
          <cell r="C148">
            <v>3091.5280000000002</v>
          </cell>
          <cell r="D148">
            <v>12</v>
          </cell>
          <cell r="E148">
            <v>2.8818329999999999E-3</v>
          </cell>
        </row>
        <row r="149">
          <cell r="A149" t="str">
            <v>711/57</v>
          </cell>
          <cell r="B149" t="str">
            <v>Cuadrado Alto Mediano 1600ml. Rosa</v>
          </cell>
          <cell r="C149">
            <v>3091.5280000000002</v>
          </cell>
          <cell r="D149">
            <v>12</v>
          </cell>
          <cell r="E149">
            <v>2.8819200000000001E-3</v>
          </cell>
        </row>
        <row r="150">
          <cell r="A150">
            <v>717</v>
          </cell>
          <cell r="B150" t="str">
            <v>Rectangular Bajo Chico 430ml. Azul</v>
          </cell>
          <cell r="C150">
            <v>2115.2559999999999</v>
          </cell>
          <cell r="D150">
            <v>12</v>
          </cell>
          <cell r="E150">
            <v>4.4414999999999998E-4</v>
          </cell>
        </row>
        <row r="151">
          <cell r="A151" t="str">
            <v>717/57</v>
          </cell>
          <cell r="B151" t="str">
            <v>Rectangular Bajo Chico 430ml. Rosa</v>
          </cell>
          <cell r="C151">
            <v>2115.2559999999999</v>
          </cell>
          <cell r="D151">
            <v>12</v>
          </cell>
          <cell r="E151">
            <v>4.4414999999999998E-4</v>
          </cell>
        </row>
        <row r="152">
          <cell r="A152">
            <v>719</v>
          </cell>
          <cell r="B152" t="str">
            <v>Rectangular Bajo Mediano 1260ml.Azul</v>
          </cell>
          <cell r="C152">
            <v>3050.8500000000004</v>
          </cell>
          <cell r="D152">
            <v>12</v>
          </cell>
          <cell r="E152">
            <v>2.0553329999999999E-3</v>
          </cell>
        </row>
        <row r="153">
          <cell r="A153" t="str">
            <v>719/57</v>
          </cell>
          <cell r="B153" t="str">
            <v>Rectangular Bajo Mediano 1260ml.Rosa</v>
          </cell>
          <cell r="C153">
            <v>3050.8500000000004</v>
          </cell>
          <cell r="D153">
            <v>12</v>
          </cell>
          <cell r="E153">
            <v>2.0554200000000001E-3</v>
          </cell>
        </row>
        <row r="154">
          <cell r="A154">
            <v>722</v>
          </cell>
          <cell r="B154" t="str">
            <v>Rectangular Bajo Gde 2400ml.Azul</v>
          </cell>
          <cell r="C154">
            <v>4808.1396000000004</v>
          </cell>
          <cell r="D154">
            <v>6</v>
          </cell>
          <cell r="E154">
            <v>4.0856670000000003E-3</v>
          </cell>
        </row>
        <row r="155">
          <cell r="A155" t="str">
            <v>722/57</v>
          </cell>
          <cell r="B155" t="str">
            <v>Rectangular Bajo Gde 2400ml.Rosa</v>
          </cell>
          <cell r="C155">
            <v>4808.1396000000004</v>
          </cell>
          <cell r="D155">
            <v>6</v>
          </cell>
          <cell r="E155">
            <v>4.0856700000000004E-3</v>
          </cell>
        </row>
        <row r="156">
          <cell r="A156" t="str">
            <v>722/C</v>
          </cell>
          <cell r="B156" t="str">
            <v>Set X3 Rectang.(717+719+722)Azul</v>
          </cell>
          <cell r="C156">
            <v>9087.4652000000006</v>
          </cell>
          <cell r="D156">
            <v>6</v>
          </cell>
          <cell r="E156">
            <v>4.0856670000000003E-3</v>
          </cell>
        </row>
        <row r="157">
          <cell r="A157" t="str">
            <v>722/57/C</v>
          </cell>
          <cell r="B157" t="str">
            <v>Set X3  Rectang.(717+719+722)Rosa</v>
          </cell>
          <cell r="C157">
            <v>9087.4652000000006</v>
          </cell>
          <cell r="D157">
            <v>6</v>
          </cell>
          <cell r="E157">
            <v>4.0856700000000004E-3</v>
          </cell>
        </row>
        <row r="158">
          <cell r="A158">
            <v>718</v>
          </cell>
          <cell r="B158" t="str">
            <v>Rectangular Alto Chico 700ml. Azul</v>
          </cell>
          <cell r="C158">
            <v>2351.1884</v>
          </cell>
          <cell r="D158">
            <v>12</v>
          </cell>
          <cell r="E158">
            <v>4.6106700000000001E-4</v>
          </cell>
        </row>
        <row r="159">
          <cell r="A159" t="str">
            <v>718/57</v>
          </cell>
          <cell r="B159" t="str">
            <v>Rectangular Alto Chico 700ml. Rosa</v>
          </cell>
          <cell r="C159">
            <v>2351.1884</v>
          </cell>
          <cell r="D159">
            <v>12</v>
          </cell>
          <cell r="E159">
            <v>4.6106700000000001E-4</v>
          </cell>
        </row>
        <row r="160">
          <cell r="A160">
            <v>721</v>
          </cell>
          <cell r="B160" t="str">
            <v>Rectangular Alto Mediano 2300ml. Azul</v>
          </cell>
          <cell r="C160">
            <v>4067.8</v>
          </cell>
          <cell r="D160">
            <v>12</v>
          </cell>
          <cell r="E160">
            <v>3.6974999999999998E-3</v>
          </cell>
        </row>
        <row r="161">
          <cell r="A161" t="str">
            <v>721/57</v>
          </cell>
          <cell r="B161" t="str">
            <v>Rectangular Alto Mediano 2300ml. Rosa</v>
          </cell>
          <cell r="C161">
            <v>4067.8</v>
          </cell>
          <cell r="D161">
            <v>12</v>
          </cell>
          <cell r="E161">
            <v>3.6974999999999998E-3</v>
          </cell>
        </row>
        <row r="162">
          <cell r="A162">
            <v>723</v>
          </cell>
          <cell r="B162" t="str">
            <v>Rectangular Alto Grande 4600ml Azul</v>
          </cell>
          <cell r="C162">
            <v>5532.2080000000005</v>
          </cell>
          <cell r="D162">
            <v>6</v>
          </cell>
          <cell r="E162">
            <v>5.0000000000000001E-3</v>
          </cell>
        </row>
        <row r="163">
          <cell r="A163" t="str">
            <v>723/57</v>
          </cell>
          <cell r="B163" t="str">
            <v>Rectangular Alto Grande 4600ml Rosa</v>
          </cell>
          <cell r="C163">
            <v>5532.2080000000005</v>
          </cell>
          <cell r="D163">
            <v>6</v>
          </cell>
          <cell r="E163">
            <v>5.0000000000000001E-3</v>
          </cell>
        </row>
        <row r="164">
          <cell r="A164" t="str">
            <v>723/C</v>
          </cell>
          <cell r="B164" t="str">
            <v>Set x 3 Rectang. (718+721+723) Azul</v>
          </cell>
          <cell r="C164">
            <v>11959.332000000002</v>
          </cell>
          <cell r="D164">
            <v>6</v>
          </cell>
          <cell r="E164">
            <v>7.556063E-3</v>
          </cell>
        </row>
        <row r="165">
          <cell r="A165" t="str">
            <v>723/57/C</v>
          </cell>
          <cell r="B165" t="str">
            <v>Set x 3 Rectang. (718+721+723)Rosa</v>
          </cell>
          <cell r="C165">
            <v>11959.332000000002</v>
          </cell>
          <cell r="D165">
            <v>6</v>
          </cell>
          <cell r="E165">
            <v>7.5560000000000002E-3</v>
          </cell>
        </row>
        <row r="166">
          <cell r="A166">
            <v>714</v>
          </cell>
          <cell r="B166" t="str">
            <v>Sandwichera  660ml. Azul</v>
          </cell>
          <cell r="C166">
            <v>2473.2224000000001</v>
          </cell>
          <cell r="D166">
            <v>12</v>
          </cell>
          <cell r="E166">
            <v>1.2012500000000001E-3</v>
          </cell>
        </row>
        <row r="167">
          <cell r="A167" t="str">
            <v>714/57</v>
          </cell>
          <cell r="B167" t="str">
            <v>Sandwichera  660ml. Rosa</v>
          </cell>
          <cell r="C167">
            <v>2473.2224000000001</v>
          </cell>
          <cell r="D167">
            <v>12</v>
          </cell>
          <cell r="E167">
            <v>1.2012500000000001E-3</v>
          </cell>
        </row>
        <row r="168">
          <cell r="A168">
            <v>716</v>
          </cell>
          <cell r="B168" t="str">
            <v>Snack Box Tres Divisiones 1,5lts. Azul</v>
          </cell>
          <cell r="C168">
            <v>4718.648000000001</v>
          </cell>
          <cell r="D168">
            <v>12</v>
          </cell>
          <cell r="E168">
            <v>2.944E-3</v>
          </cell>
        </row>
        <row r="169">
          <cell r="A169" t="str">
            <v>716/57</v>
          </cell>
          <cell r="B169" t="str">
            <v>Snack Box Tres Divisiones 1,5lts. Rosa</v>
          </cell>
          <cell r="C169">
            <v>4718.648000000001</v>
          </cell>
          <cell r="D169">
            <v>12</v>
          </cell>
          <cell r="E169">
            <v>2.944E-3</v>
          </cell>
        </row>
        <row r="170">
          <cell r="A170"/>
          <cell r="B170" t="str">
            <v/>
          </cell>
          <cell r="C170"/>
          <cell r="D170"/>
          <cell r="E170" t="e">
            <v>#N/A</v>
          </cell>
        </row>
        <row r="171">
          <cell r="A171">
            <v>901</v>
          </cell>
          <cell r="B171" t="str">
            <v>Organizadora Pequeña 6L</v>
          </cell>
          <cell r="C171">
            <v>5125.4279999999999</v>
          </cell>
          <cell r="D171">
            <v>12</v>
          </cell>
          <cell r="E171">
            <v>3.0959830000000001E-3</v>
          </cell>
        </row>
        <row r="172">
          <cell r="A172">
            <v>911</v>
          </cell>
          <cell r="B172" t="str">
            <v xml:space="preserve">Organizadora Mediana 11L </v>
          </cell>
          <cell r="C172">
            <v>6776.9548000000004</v>
          </cell>
          <cell r="D172">
            <v>12</v>
          </cell>
          <cell r="E172">
            <v>4.7758670000000005E-3</v>
          </cell>
        </row>
        <row r="173">
          <cell r="A173">
            <v>921</v>
          </cell>
          <cell r="B173" t="str">
            <v>Organizadora Pequeña Alta 14L</v>
          </cell>
          <cell r="C173">
            <v>8380</v>
          </cell>
          <cell r="D173">
            <v>12</v>
          </cell>
          <cell r="E173">
            <v>5.5533329999999997E-3</v>
          </cell>
        </row>
        <row r="174">
          <cell r="A174">
            <v>931</v>
          </cell>
          <cell r="B174" t="str">
            <v xml:space="preserve">Organizadora Mediana Baja 20L   </v>
          </cell>
          <cell r="C174">
            <v>12122</v>
          </cell>
          <cell r="D174">
            <v>12</v>
          </cell>
          <cell r="E174">
            <v>8.6512829999999992E-3</v>
          </cell>
        </row>
        <row r="175">
          <cell r="A175">
            <v>941</v>
          </cell>
          <cell r="B175" t="str">
            <v xml:space="preserve">Organizadora Mediana 29L     </v>
          </cell>
          <cell r="C175">
            <v>13993</v>
          </cell>
          <cell r="D175">
            <v>12</v>
          </cell>
          <cell r="E175">
            <v>1.0884833E-2</v>
          </cell>
        </row>
        <row r="176">
          <cell r="A176" t="str">
            <v>941/126</v>
          </cell>
          <cell r="B176" t="str">
            <v xml:space="preserve">Organizadora Mediana 29L  Rosa    </v>
          </cell>
          <cell r="C176">
            <v>13993</v>
          </cell>
          <cell r="D176">
            <v>12</v>
          </cell>
          <cell r="E176">
            <v>9.8322779999999999E-3</v>
          </cell>
        </row>
        <row r="177">
          <cell r="A177" t="str">
            <v>941/127</v>
          </cell>
          <cell r="B177" t="str">
            <v>Organizadora Mediana 29L Azul</v>
          </cell>
          <cell r="C177">
            <v>13993</v>
          </cell>
          <cell r="D177">
            <v>12</v>
          </cell>
          <cell r="E177">
            <v>9.8322779999999999E-3</v>
          </cell>
        </row>
        <row r="178">
          <cell r="A178">
            <v>951</v>
          </cell>
          <cell r="B178" t="str">
            <v>Organizadora Mediana Alta 36L</v>
          </cell>
          <cell r="C178">
            <v>15620</v>
          </cell>
          <cell r="D178">
            <v>12</v>
          </cell>
          <cell r="E178">
            <v>1.3073708E-2</v>
          </cell>
        </row>
        <row r="179">
          <cell r="A179">
            <v>961</v>
          </cell>
          <cell r="B179" t="str">
            <v>Organizadora Grande Baja 48L</v>
          </cell>
          <cell r="C179">
            <v>21559</v>
          </cell>
          <cell r="D179">
            <v>6</v>
          </cell>
          <cell r="E179">
            <v>2.1566667000000001E-2</v>
          </cell>
        </row>
        <row r="180">
          <cell r="A180" t="str">
            <v>971/8</v>
          </cell>
          <cell r="B180" t="str">
            <v xml:space="preserve">Organizadora Mediana 68L  Rosa </v>
          </cell>
          <cell r="C180">
            <v>24244</v>
          </cell>
          <cell r="D180">
            <v>6</v>
          </cell>
          <cell r="E180">
            <v>2.8370216E-2</v>
          </cell>
        </row>
        <row r="181">
          <cell r="A181" t="str">
            <v>971/82</v>
          </cell>
          <cell r="B181" t="str">
            <v>Organizadora Mediana 68L   Azul</v>
          </cell>
          <cell r="C181">
            <v>24244</v>
          </cell>
          <cell r="D181">
            <v>6</v>
          </cell>
          <cell r="E181">
            <v>2.8370216E-2</v>
          </cell>
        </row>
        <row r="182">
          <cell r="A182">
            <v>981</v>
          </cell>
          <cell r="B182" t="str">
            <v>Organizadora Grande Alta 80L</v>
          </cell>
          <cell r="C182">
            <v>30102</v>
          </cell>
          <cell r="D182">
            <v>6</v>
          </cell>
          <cell r="E182">
            <v>3.7313559999999996E-2</v>
          </cell>
        </row>
        <row r="183">
          <cell r="A183"/>
          <cell r="B183" t="str">
            <v/>
          </cell>
          <cell r="C183"/>
          <cell r="D183"/>
          <cell r="E183" t="e">
            <v>#N/A</v>
          </cell>
        </row>
        <row r="184">
          <cell r="A184">
            <v>940</v>
          </cell>
          <cell r="B184" t="str">
            <v>Miniorganizador Bajo 1,0 lts. 18,6X14,5X7</v>
          </cell>
          <cell r="C184">
            <v>3376.2739999999999</v>
          </cell>
          <cell r="D184">
            <v>12</v>
          </cell>
          <cell r="E184">
            <v>1.35625E-3</v>
          </cell>
        </row>
        <row r="185">
          <cell r="A185">
            <v>950</v>
          </cell>
          <cell r="B185" t="str">
            <v>Organizador Top Stock 2,3 lts.26X18X9</v>
          </cell>
          <cell r="C185">
            <v>4555.9359999999997</v>
          </cell>
          <cell r="D185">
            <v>12</v>
          </cell>
          <cell r="E185">
            <v>2.063367E-3</v>
          </cell>
        </row>
        <row r="186">
          <cell r="A186">
            <v>955</v>
          </cell>
          <cell r="B186" t="str">
            <v>Organizador Top Stock 4,3 lts. 26X18X15</v>
          </cell>
          <cell r="C186">
            <v>5694.92</v>
          </cell>
          <cell r="D186">
            <v>12</v>
          </cell>
          <cell r="E186">
            <v>3.6096660000000001E-3</v>
          </cell>
        </row>
        <row r="187">
          <cell r="A187">
            <v>960</v>
          </cell>
          <cell r="B187" t="str">
            <v>Organizador Top Stock 8,6 lts. 40X27X13</v>
          </cell>
          <cell r="C187">
            <v>8176.2780000000002</v>
          </cell>
          <cell r="D187">
            <v>6</v>
          </cell>
          <cell r="E187">
            <v>8.0678669999999994E-3</v>
          </cell>
        </row>
        <row r="188">
          <cell r="A188">
            <v>963</v>
          </cell>
          <cell r="B188" t="str">
            <v>Organizador Top Stock 16,7lts.40X27X33</v>
          </cell>
          <cell r="C188">
            <v>11332.890800000001</v>
          </cell>
          <cell r="D188">
            <v>6</v>
          </cell>
          <cell r="E188">
            <v>1.1939666E-2</v>
          </cell>
        </row>
        <row r="189">
          <cell r="A189">
            <v>965</v>
          </cell>
          <cell r="B189" t="str">
            <v>Organizador Top Stock 26,5 lts. 40X27X36</v>
          </cell>
          <cell r="C189">
            <v>13789.842000000001</v>
          </cell>
          <cell r="D189">
            <v>6</v>
          </cell>
          <cell r="E189">
            <v>1.5898263999999999E-2</v>
          </cell>
        </row>
        <row r="190">
          <cell r="A190">
            <v>970</v>
          </cell>
          <cell r="B190" t="str">
            <v>Organizador Top Stock 28,2 lts.56X39X20</v>
          </cell>
          <cell r="C190">
            <v>16824.4208</v>
          </cell>
          <cell r="D190">
            <v>6</v>
          </cell>
          <cell r="E190">
            <v>1.7867135999999999E-2</v>
          </cell>
        </row>
        <row r="191">
          <cell r="A191">
            <v>975</v>
          </cell>
          <cell r="B191" t="str">
            <v>Organizador Top Stock 56,0 lts.56X39X37</v>
          </cell>
          <cell r="C191">
            <v>24073.240399999999</v>
          </cell>
          <cell r="D191">
            <v>6</v>
          </cell>
          <cell r="E191">
            <v>2.8940256000000001E-2</v>
          </cell>
        </row>
        <row r="192">
          <cell r="A192">
            <v>980</v>
          </cell>
          <cell r="B192" t="str">
            <v>Organizador Top Stock 42 lts.65X45X25</v>
          </cell>
          <cell r="C192">
            <v>22665.781600000002</v>
          </cell>
          <cell r="D192">
            <v>6</v>
          </cell>
          <cell r="E192">
            <v>3.2104166000000003E-2</v>
          </cell>
        </row>
        <row r="193">
          <cell r="A193">
            <v>985</v>
          </cell>
          <cell r="B193" t="str">
            <v>Organizador Top Stock 72 lts.65X45X40</v>
          </cell>
          <cell r="C193">
            <v>32013.585999999999</v>
          </cell>
          <cell r="D193">
            <v>6</v>
          </cell>
          <cell r="E193">
            <v>3.8518775999999998E-2</v>
          </cell>
        </row>
        <row r="194">
          <cell r="A194">
            <v>935</v>
          </cell>
          <cell r="B194" t="str">
            <v>Organizador Alto 65 Lt.-64X44X66cm.</v>
          </cell>
          <cell r="C194">
            <v>29695</v>
          </cell>
          <cell r="D194">
            <v>6</v>
          </cell>
          <cell r="E194">
            <v>0.04</v>
          </cell>
        </row>
        <row r="195">
          <cell r="A195"/>
          <cell r="B195" t="str">
            <v/>
          </cell>
          <cell r="C195"/>
          <cell r="D195"/>
          <cell r="E195" t="e">
            <v>#N/A</v>
          </cell>
        </row>
        <row r="196">
          <cell r="A196"/>
          <cell r="B196" t="str">
            <v/>
          </cell>
          <cell r="C196"/>
          <cell r="D196"/>
          <cell r="E196" t="e">
            <v>#N/A</v>
          </cell>
        </row>
        <row r="197">
          <cell r="A197">
            <v>270</v>
          </cell>
          <cell r="B197" t="str">
            <v>Recipiente 8,8 lts. Rect.Tapa Vaivén</v>
          </cell>
          <cell r="C197">
            <v>7241</v>
          </cell>
          <cell r="D197">
            <v>6</v>
          </cell>
          <cell r="E197">
            <v>5.9861660000000002E-3</v>
          </cell>
        </row>
        <row r="198">
          <cell r="A198">
            <v>280</v>
          </cell>
          <cell r="B198" t="str">
            <v>Recipiente 20.5 lts. Rect.Tapa Vaivén</v>
          </cell>
          <cell r="C198">
            <v>13749</v>
          </cell>
          <cell r="D198">
            <v>4</v>
          </cell>
          <cell r="E198">
            <v>1.311E-2</v>
          </cell>
        </row>
        <row r="199">
          <cell r="A199">
            <v>271</v>
          </cell>
          <cell r="B199" t="str">
            <v>Recipiente Redondo 6 lts. Negro</v>
          </cell>
          <cell r="C199">
            <v>5858</v>
          </cell>
          <cell r="D199">
            <v>6</v>
          </cell>
          <cell r="E199" t="e">
            <v>#N/A</v>
          </cell>
        </row>
        <row r="200">
          <cell r="A200" t="str">
            <v>271/1</v>
          </cell>
          <cell r="B200" t="str">
            <v>Recipiente Redondo 6 lts.Blanco</v>
          </cell>
          <cell r="C200">
            <v>5858</v>
          </cell>
          <cell r="D200">
            <v>6</v>
          </cell>
          <cell r="E200" t="e">
            <v>#N/A</v>
          </cell>
        </row>
        <row r="201">
          <cell r="A201" t="str">
            <v>272/1</v>
          </cell>
          <cell r="B201" t="str">
            <v>Recipiente Pedal 6 Litros Blanco</v>
          </cell>
          <cell r="C201">
            <v>10047</v>
          </cell>
          <cell r="D201">
            <v>6</v>
          </cell>
          <cell r="E201" t="e">
            <v>#N/A</v>
          </cell>
        </row>
        <row r="202">
          <cell r="A202">
            <v>2203</v>
          </cell>
          <cell r="B202" t="str">
            <v>Basurero de Cocina 2,5 Litros Blanco</v>
          </cell>
          <cell r="C202">
            <v>4068</v>
          </cell>
          <cell r="D202">
            <v>12</v>
          </cell>
          <cell r="E202">
            <v>2.1093000000000002E-3</v>
          </cell>
        </row>
        <row r="203">
          <cell r="A203" t="str">
            <v>2203/20</v>
          </cell>
          <cell r="B203" t="str">
            <v xml:space="preserve">   Basurero de Cocina 2,5 Litros Negro</v>
          </cell>
          <cell r="C203">
            <v>4068</v>
          </cell>
          <cell r="D203">
            <v>12</v>
          </cell>
          <cell r="E203">
            <v>2.1093000000000002E-3</v>
          </cell>
        </row>
        <row r="204">
          <cell r="A204">
            <v>2205</v>
          </cell>
          <cell r="B204" t="str">
            <v>Basurero Vaivén de 5 Litros Blanco</v>
          </cell>
          <cell r="C204">
            <v>5288</v>
          </cell>
          <cell r="D204">
            <v>12</v>
          </cell>
          <cell r="E204">
            <v>2.94437E-3</v>
          </cell>
        </row>
        <row r="205">
          <cell r="A205" t="str">
            <v>2205/20</v>
          </cell>
          <cell r="B205" t="str">
            <v xml:space="preserve"> Basurero Vaivén de 5 Litros Negro</v>
          </cell>
          <cell r="C205">
            <v>5288</v>
          </cell>
          <cell r="D205">
            <v>12</v>
          </cell>
          <cell r="E205">
            <v>2.94437E-3</v>
          </cell>
        </row>
        <row r="206">
          <cell r="A206">
            <v>2206</v>
          </cell>
          <cell r="B206" t="str">
            <v>Basurero Redondo 6 Litros Blanco</v>
          </cell>
          <cell r="C206">
            <v>4881</v>
          </cell>
          <cell r="D206">
            <v>6</v>
          </cell>
          <cell r="E206">
            <v>3.5859379999999999E-3</v>
          </cell>
        </row>
        <row r="207">
          <cell r="A207" t="str">
            <v>2206/20</v>
          </cell>
          <cell r="B207" t="str">
            <v>Basurero Redondo 6 Litros Negro</v>
          </cell>
          <cell r="C207">
            <v>4881</v>
          </cell>
          <cell r="D207">
            <v>6</v>
          </cell>
          <cell r="E207">
            <v>3.5859379999999999E-3</v>
          </cell>
        </row>
        <row r="208">
          <cell r="A208">
            <v>2207</v>
          </cell>
          <cell r="B208" t="str">
            <v>Basurero a Pedal de 7 Litros Blanco</v>
          </cell>
          <cell r="C208">
            <v>7729</v>
          </cell>
          <cell r="D208">
            <v>6</v>
          </cell>
          <cell r="E208">
            <v>8.3208529999999996E-3</v>
          </cell>
        </row>
        <row r="209">
          <cell r="A209" t="str">
            <v>2207/20</v>
          </cell>
          <cell r="B209" t="str">
            <v>Basurero a Pedal de 7 Litros Negro</v>
          </cell>
          <cell r="C209">
            <v>7729</v>
          </cell>
          <cell r="D209">
            <v>6</v>
          </cell>
          <cell r="E209">
            <v>8.3208529999999996E-3</v>
          </cell>
        </row>
        <row r="210">
          <cell r="A210">
            <v>2209</v>
          </cell>
          <cell r="B210" t="str">
            <v>Recipiente Residuos Vaivén 9 Litros</v>
          </cell>
          <cell r="C210">
            <v>7322</v>
          </cell>
          <cell r="D210">
            <v>12</v>
          </cell>
          <cell r="E210">
            <v>5.0992200000000007E-3</v>
          </cell>
        </row>
        <row r="211">
          <cell r="A211">
            <v>274</v>
          </cell>
          <cell r="B211" t="str">
            <v>Recipiente Pedal c/Tapa 6,6 lts. Negro</v>
          </cell>
          <cell r="C211">
            <v>7713</v>
          </cell>
          <cell r="D211">
            <v>6</v>
          </cell>
          <cell r="E211">
            <v>9.4621000000000011E-3</v>
          </cell>
        </row>
        <row r="212">
          <cell r="A212" t="str">
            <v>274/1</v>
          </cell>
          <cell r="B212" t="str">
            <v xml:space="preserve"> Recipiente Pedal c/Tapa 6,6 lts.Blanco            </v>
          </cell>
          <cell r="C212">
            <v>7713</v>
          </cell>
          <cell r="D212">
            <v>6</v>
          </cell>
          <cell r="E212">
            <v>9.4621000000000011E-3</v>
          </cell>
        </row>
        <row r="213">
          <cell r="A213">
            <v>275</v>
          </cell>
          <cell r="B213" t="str">
            <v xml:space="preserve">Recipiente Pedal 13,5lts.     </v>
          </cell>
          <cell r="C213">
            <v>10739</v>
          </cell>
          <cell r="D213">
            <v>6</v>
          </cell>
          <cell r="E213">
            <v>1.7052144000000002E-2</v>
          </cell>
        </row>
        <row r="214">
          <cell r="A214" t="str">
            <v>275/1</v>
          </cell>
          <cell r="B214" t="str">
            <v>Recipiente Pedal Blanco</v>
          </cell>
          <cell r="C214">
            <v>10739</v>
          </cell>
          <cell r="D214">
            <v>6</v>
          </cell>
          <cell r="E214">
            <v>1.7052144000000002E-2</v>
          </cell>
        </row>
        <row r="215">
          <cell r="A215" t="str">
            <v>275/20</v>
          </cell>
          <cell r="B215" t="str">
            <v>Recipiente Pedal Negro</v>
          </cell>
          <cell r="C215">
            <v>10739</v>
          </cell>
          <cell r="D215">
            <v>6</v>
          </cell>
          <cell r="E215">
            <v>1.705214E-2</v>
          </cell>
        </row>
        <row r="216">
          <cell r="A216">
            <v>298</v>
          </cell>
          <cell r="B216" t="str">
            <v xml:space="preserve">Recipiente Rectangular a Pedal 36 lts.                           </v>
          </cell>
          <cell r="C216">
            <v>20941</v>
          </cell>
          <cell r="D216">
            <v>3</v>
          </cell>
          <cell r="E216">
            <v>2.8722338E-2</v>
          </cell>
        </row>
        <row r="217">
          <cell r="A217">
            <v>299</v>
          </cell>
          <cell r="B217" t="str">
            <v xml:space="preserve">Recipiente Rectangular a Pedal 72 lts.                           </v>
          </cell>
          <cell r="C217">
            <v>34121</v>
          </cell>
          <cell r="D217">
            <v>3</v>
          </cell>
          <cell r="E217">
            <v>5.0214957000000005E-2</v>
          </cell>
        </row>
        <row r="218">
          <cell r="A218">
            <v>278</v>
          </cell>
          <cell r="B218" t="str">
            <v xml:space="preserve">Recip. Residuos c/Tapa Vaivén 6,5 lts. </v>
          </cell>
          <cell r="C218">
            <v>4637</v>
          </cell>
          <cell r="D218">
            <v>12</v>
          </cell>
          <cell r="E218">
            <v>2.9250000000000001E-3</v>
          </cell>
        </row>
        <row r="219">
          <cell r="A219" t="str">
            <v>278/20</v>
          </cell>
          <cell r="B219" t="str">
            <v>Recip. c/Tapa Vaivén 6,5 lts. Negro</v>
          </cell>
          <cell r="C219">
            <v>4637</v>
          </cell>
          <cell r="D219">
            <v>12</v>
          </cell>
          <cell r="E219">
            <v>3.0195E-3</v>
          </cell>
        </row>
        <row r="220">
          <cell r="A220">
            <v>281</v>
          </cell>
          <cell r="B220" t="str">
            <v xml:space="preserve">Recip. Residuos c/Tapa Vaivén 10 lts.  </v>
          </cell>
          <cell r="C220">
            <v>6305</v>
          </cell>
          <cell r="D220">
            <v>12</v>
          </cell>
          <cell r="E220">
            <v>3.76875E-3</v>
          </cell>
        </row>
        <row r="221">
          <cell r="A221" t="str">
            <v>281/20</v>
          </cell>
          <cell r="B221" t="str">
            <v xml:space="preserve">  Recip. c/Tapa Vaivén 10 lts. Negro</v>
          </cell>
          <cell r="C221">
            <v>6305</v>
          </cell>
          <cell r="D221">
            <v>12</v>
          </cell>
          <cell r="E221">
            <v>3.76875E-3</v>
          </cell>
        </row>
        <row r="222">
          <cell r="A222">
            <v>279</v>
          </cell>
          <cell r="B222" t="str">
            <v xml:space="preserve">Recip. Residuos c/Tapa Vaivén 19  lts.   </v>
          </cell>
          <cell r="C222">
            <v>10332</v>
          </cell>
          <cell r="D222">
            <v>6</v>
          </cell>
          <cell r="E222">
            <v>9.5438160000000001E-3</v>
          </cell>
        </row>
        <row r="223">
          <cell r="A223" t="str">
            <v>279/20</v>
          </cell>
          <cell r="B223" t="str">
            <v>Recip. c/Tapa Vaivén 19  lts. Negro</v>
          </cell>
          <cell r="C223">
            <v>10332</v>
          </cell>
          <cell r="D223">
            <v>6</v>
          </cell>
          <cell r="E223">
            <v>9.5438160000000001E-3</v>
          </cell>
        </row>
        <row r="224">
          <cell r="A224">
            <v>283</v>
          </cell>
          <cell r="B224" t="str">
            <v xml:space="preserve">Recip. Residuos c/Tapa Vaivén 30 lts.    </v>
          </cell>
          <cell r="C224">
            <v>13546</v>
          </cell>
          <cell r="D224">
            <v>6</v>
          </cell>
          <cell r="E224">
            <v>1.0444175999999999E-2</v>
          </cell>
        </row>
        <row r="225">
          <cell r="A225" t="str">
            <v>283/20</v>
          </cell>
          <cell r="B225" t="str">
            <v>Recip. c/Tapa Vaivén 30 lts. Negro</v>
          </cell>
          <cell r="C225">
            <v>13546</v>
          </cell>
          <cell r="D225">
            <v>6</v>
          </cell>
          <cell r="E225">
            <v>1.0444180000000001E-2</v>
          </cell>
        </row>
        <row r="226">
          <cell r="A226">
            <v>284</v>
          </cell>
          <cell r="B226" t="str">
            <v xml:space="preserve">Recip. Residuos c/Tapa Vaivén 59 lts.       </v>
          </cell>
          <cell r="C226">
            <v>21030.526000000002</v>
          </cell>
          <cell r="D226">
            <v>6</v>
          </cell>
          <cell r="E226">
            <v>2.1638416000000001E-2</v>
          </cell>
        </row>
        <row r="227">
          <cell r="A227">
            <v>285</v>
          </cell>
          <cell r="B227" t="str">
            <v>Recip. Residuos c/Tapa Vaivén 105 lts.</v>
          </cell>
          <cell r="C227">
            <v>34299.689599999998</v>
          </cell>
          <cell r="D227">
            <v>6</v>
          </cell>
          <cell r="E227">
            <v>3.7758283000000004E-2</v>
          </cell>
        </row>
        <row r="228">
          <cell r="A228">
            <v>286</v>
          </cell>
          <cell r="B228" t="str">
            <v>Recipiente Residuos Red. c/Tapa 9 lts.</v>
          </cell>
          <cell r="C228">
            <v>5776.2760000000007</v>
          </cell>
          <cell r="D228">
            <v>6</v>
          </cell>
          <cell r="E228">
            <v>3.1121999999999999E-3</v>
          </cell>
        </row>
        <row r="229">
          <cell r="A229">
            <v>287</v>
          </cell>
          <cell r="B229" t="str">
            <v>Recipiente Residuos Red. c/Tapa 17 lts</v>
          </cell>
          <cell r="C229">
            <v>8461.0239999999994</v>
          </cell>
          <cell r="D229">
            <v>6</v>
          </cell>
          <cell r="E229">
            <v>6.6639999999999998E-3</v>
          </cell>
        </row>
        <row r="230">
          <cell r="A230">
            <v>289</v>
          </cell>
          <cell r="B230" t="str">
            <v>Recipiente Residuos Red. c/Tapa 42 lts</v>
          </cell>
          <cell r="C230">
            <v>17450.862000000001</v>
          </cell>
          <cell r="D230">
            <v>4</v>
          </cell>
          <cell r="E230">
            <v>1.2179407999999999E-2</v>
          </cell>
        </row>
        <row r="231">
          <cell r="A231">
            <v>290</v>
          </cell>
          <cell r="B231" t="str">
            <v>Recipiente Residuos Red. c/Tapa 70 lts</v>
          </cell>
          <cell r="C231">
            <v>28067.820000000003</v>
          </cell>
          <cell r="D231">
            <v>4</v>
          </cell>
          <cell r="E231">
            <v>0.102529</v>
          </cell>
        </row>
        <row r="232">
          <cell r="A232">
            <v>292</v>
          </cell>
          <cell r="B232" t="str">
            <v>Recipiente Residuos Red. c/Tapa 103lts</v>
          </cell>
          <cell r="C232">
            <v>39701.72800000001</v>
          </cell>
          <cell r="D232">
            <v>4</v>
          </cell>
          <cell r="E232">
            <v>0.10252849999999999</v>
          </cell>
        </row>
        <row r="233">
          <cell r="A233">
            <v>295</v>
          </cell>
          <cell r="B233" t="str">
            <v>Recipiente Residuos Red. c/Tapa 140lts</v>
          </cell>
          <cell r="C233">
            <v>46047.496000000006</v>
          </cell>
          <cell r="D233">
            <v>3</v>
          </cell>
          <cell r="E233">
            <v>7.3399000000000006E-2</v>
          </cell>
        </row>
        <row r="234">
          <cell r="A234">
            <v>54</v>
          </cell>
          <cell r="B234" t="str">
            <v xml:space="preserve">Basurero Con Pedal 50 Litros       </v>
          </cell>
          <cell r="C234">
            <v>27986.464</v>
          </cell>
          <cell r="D234">
            <v>6</v>
          </cell>
          <cell r="E234">
            <v>0.02</v>
          </cell>
        </row>
        <row r="235">
          <cell r="A235" t="str">
            <v>54/1</v>
          </cell>
          <cell r="B235" t="str">
            <v>Basurero Con Pedal 50 Litros Blanco</v>
          </cell>
          <cell r="C235">
            <v>27986</v>
          </cell>
          <cell r="D235">
            <v>6</v>
          </cell>
          <cell r="E235">
            <v>0.02</v>
          </cell>
        </row>
        <row r="236">
          <cell r="A236">
            <v>62</v>
          </cell>
          <cell r="B236" t="str">
            <v xml:space="preserve">Basurero Tapa Vaivén 15 Litros   </v>
          </cell>
          <cell r="C236">
            <v>10983</v>
          </cell>
          <cell r="D236">
            <v>6</v>
          </cell>
          <cell r="E236">
            <v>7.4447050000000002E-3</v>
          </cell>
        </row>
        <row r="237">
          <cell r="A237">
            <v>64</v>
          </cell>
          <cell r="B237" t="str">
            <v>Basurero Tapa Vaivén 40 Litros Negro</v>
          </cell>
          <cell r="C237">
            <v>21258</v>
          </cell>
          <cell r="D237">
            <v>6</v>
          </cell>
          <cell r="E237">
            <v>1.7458893E-2</v>
          </cell>
        </row>
        <row r="238">
          <cell r="A238" t="str">
            <v>64/21</v>
          </cell>
          <cell r="B238" t="str">
            <v>Basurero Tapa Vaivén 40 Litros  Azul</v>
          </cell>
          <cell r="C238">
            <v>21258</v>
          </cell>
          <cell r="D238">
            <v>6</v>
          </cell>
          <cell r="E238">
            <v>1.7458889999999998E-2</v>
          </cell>
        </row>
        <row r="239">
          <cell r="A239" t="str">
            <v>64/22</v>
          </cell>
          <cell r="B239" t="str">
            <v>Basurero Tapa Vaivén 40 Litros  Rojo</v>
          </cell>
          <cell r="C239">
            <v>21258</v>
          </cell>
          <cell r="D239">
            <v>6</v>
          </cell>
          <cell r="E239">
            <v>1.7458889999999998E-2</v>
          </cell>
        </row>
        <row r="240">
          <cell r="A240" t="str">
            <v>64/23</v>
          </cell>
          <cell r="B240" t="str">
            <v>Basurero Tapa Vaivén 40 Litros  Amarillo</v>
          </cell>
          <cell r="C240">
            <v>21258</v>
          </cell>
          <cell r="D240">
            <v>6</v>
          </cell>
          <cell r="E240">
            <v>1.7458889999999998E-2</v>
          </cell>
        </row>
        <row r="241">
          <cell r="A241" t="str">
            <v>64/24</v>
          </cell>
          <cell r="B241" t="str">
            <v>Basurero Tapa Vaivén 40 Litros  Verde</v>
          </cell>
          <cell r="C241">
            <v>21258</v>
          </cell>
          <cell r="D241">
            <v>6</v>
          </cell>
          <cell r="E241">
            <v>1.7458889999999998E-2</v>
          </cell>
        </row>
        <row r="242">
          <cell r="A242" t="str">
            <v>64/25</v>
          </cell>
          <cell r="B242" t="str">
            <v>Basurero Tapa Vaivén 40 Litros  Marrón</v>
          </cell>
          <cell r="C242">
            <v>21258</v>
          </cell>
          <cell r="D242">
            <v>6</v>
          </cell>
          <cell r="E242">
            <v>1.7458889999999998E-2</v>
          </cell>
        </row>
        <row r="243">
          <cell r="A243">
            <v>66</v>
          </cell>
          <cell r="B243" t="str">
            <v>Basurero Tapa Vaivén 70 Litros Negro</v>
          </cell>
          <cell r="C243">
            <v>32461</v>
          </cell>
          <cell r="D243">
            <v>6</v>
          </cell>
          <cell r="E243">
            <v>3.2085592000000003E-2</v>
          </cell>
        </row>
        <row r="244">
          <cell r="A244" t="str">
            <v>1722/1</v>
          </cell>
          <cell r="B244" t="str">
            <v>Cesto Organizador Rectangular Rosa de 22 lts. (33X47X23cm)</v>
          </cell>
          <cell r="C244">
            <v>11389.84</v>
          </cell>
          <cell r="D244">
            <v>6</v>
          </cell>
          <cell r="E244">
            <v>6.4006250000000001E-3</v>
          </cell>
        </row>
        <row r="245">
          <cell r="A245" t="str">
            <v>1722/2</v>
          </cell>
          <cell r="B245" t="str">
            <v>Cesto Organizador Rectangular Gris de 22 lts. (33X47X23cm)</v>
          </cell>
          <cell r="C245">
            <v>11389.84</v>
          </cell>
          <cell r="D245">
            <v>6</v>
          </cell>
          <cell r="E245">
            <v>6.4006250000000001E-3</v>
          </cell>
        </row>
        <row r="246">
          <cell r="A246" t="str">
            <v>1803/1</v>
          </cell>
          <cell r="B246" t="str">
            <v>Cesto Organizador Redondo Rosa de 3 lts. (23X21X18cm)</v>
          </cell>
          <cell r="C246">
            <v>4677.97</v>
          </cell>
          <cell r="D246">
            <v>12</v>
          </cell>
          <cell r="E246">
            <v>1.0396300000000002E-3</v>
          </cell>
        </row>
        <row r="247">
          <cell r="A247" t="str">
            <v>1803/2</v>
          </cell>
          <cell r="B247" t="str">
            <v>Cesto Organizador Redondo Gris       de 3 lts. (23X21X18cm)</v>
          </cell>
          <cell r="C247">
            <v>4677.97</v>
          </cell>
          <cell r="D247">
            <v>12</v>
          </cell>
          <cell r="E247">
            <v>1.0396300000000002E-3</v>
          </cell>
        </row>
        <row r="248">
          <cell r="A248" t="str">
            <v>1820/1</v>
          </cell>
          <cell r="B248" t="str">
            <v>Cesto Organizador Redondo Rosa de 20 lts. (46X43X33cm)</v>
          </cell>
          <cell r="C248">
            <v>10738.992</v>
          </cell>
          <cell r="D248">
            <v>6</v>
          </cell>
          <cell r="E248">
            <v>5.4312409999999998E-3</v>
          </cell>
        </row>
        <row r="249">
          <cell r="A249" t="str">
            <v>1820/2</v>
          </cell>
          <cell r="B249" t="str">
            <v>Cesto Organizador Redondo Gris       de 20 lts. (46X43X33cm)</v>
          </cell>
          <cell r="C249">
            <v>10738.992</v>
          </cell>
          <cell r="D249">
            <v>6</v>
          </cell>
          <cell r="E249">
            <v>5.4312409999999998E-3</v>
          </cell>
        </row>
        <row r="250">
          <cell r="A250" t="str">
            <v>1830/1</v>
          </cell>
          <cell r="B250" t="str">
            <v>Cesto Organizador Redondo Rosa de 30 lts. (46X50X31cm)</v>
          </cell>
          <cell r="C250">
            <v>13301.706</v>
          </cell>
          <cell r="D250">
            <v>6</v>
          </cell>
          <cell r="E250">
            <v>1.6541666E-2</v>
          </cell>
        </row>
        <row r="251">
          <cell r="A251" t="str">
            <v>1830/2</v>
          </cell>
          <cell r="B251" t="str">
            <v>Cesto Organizador Redondo Gris       de 30 lts. (46X50X31cm)</v>
          </cell>
          <cell r="C251">
            <v>13301.706</v>
          </cell>
          <cell r="D251">
            <v>6</v>
          </cell>
          <cell r="E251">
            <v>1.6541666E-2</v>
          </cell>
        </row>
        <row r="252">
          <cell r="A252" t="str">
            <v>1844/1</v>
          </cell>
          <cell r="B252" t="str">
            <v>Canasto de Ropa Rosa de 44lts. (41X45X56cm)</v>
          </cell>
          <cell r="C252">
            <v>16108.487999999999</v>
          </cell>
          <cell r="D252">
            <v>6</v>
          </cell>
          <cell r="E252">
            <v>1.4812000000000001E-2</v>
          </cell>
        </row>
        <row r="253">
          <cell r="A253" t="str">
            <v>1844/2</v>
          </cell>
          <cell r="B253" t="str">
            <v>Canasto de Ropa Gris de 44lts. (41X45X56cm)</v>
          </cell>
          <cell r="C253">
            <v>16108.487999999999</v>
          </cell>
          <cell r="D253">
            <v>6</v>
          </cell>
          <cell r="E253">
            <v>1.4812000000000001E-2</v>
          </cell>
        </row>
        <row r="254">
          <cell r="A254" t="str">
            <v>1918/1</v>
          </cell>
          <cell r="B254" t="str">
            <v>Canasto Organizador Cuadrado Rosa de 18lts. (29X34X35cm)</v>
          </cell>
          <cell r="C254">
            <v>10738.992</v>
          </cell>
          <cell r="D254">
            <v>6</v>
          </cell>
          <cell r="E254">
            <v>5.7982910000000006E-3</v>
          </cell>
        </row>
        <row r="255">
          <cell r="A255" t="str">
            <v>1918/2</v>
          </cell>
          <cell r="B255" t="str">
            <v>Canasto Organizador Cuadrado Gris de 18lts. (29X34X35cm)</v>
          </cell>
          <cell r="C255">
            <v>10738.992</v>
          </cell>
          <cell r="D255">
            <v>6</v>
          </cell>
          <cell r="E255">
            <v>5.7982910000000006E-3</v>
          </cell>
        </row>
        <row r="256">
          <cell r="A256" t="str">
            <v>1922/1</v>
          </cell>
          <cell r="B256" t="str">
            <v>Canasto Organizador Cuadrado Rosa de 22lts. (36X41X28cm)</v>
          </cell>
          <cell r="C256">
            <v>12610.18</v>
          </cell>
          <cell r="D256">
            <v>6</v>
          </cell>
          <cell r="E256">
            <v>1.0114875000000001E-2</v>
          </cell>
        </row>
        <row r="257">
          <cell r="A257" t="str">
            <v>1922/2</v>
          </cell>
          <cell r="B257" t="str">
            <v>Canasto Organizador Cuadrado Gris de 22lts. (36X41X28cm)</v>
          </cell>
          <cell r="C257">
            <v>12610.18</v>
          </cell>
          <cell r="D257">
            <v>6</v>
          </cell>
          <cell r="E257">
            <v>1.0114875000000001E-2</v>
          </cell>
        </row>
        <row r="258">
          <cell r="A258">
            <v>886</v>
          </cell>
          <cell r="B258" t="str">
            <v>Canasta Apilable 0,75 Litros</v>
          </cell>
          <cell r="C258">
            <v>1000.6788</v>
          </cell>
          <cell r="D258">
            <v>12</v>
          </cell>
          <cell r="E258">
            <v>1.90125E-4</v>
          </cell>
        </row>
        <row r="259">
          <cell r="A259" t="str">
            <v>886/3</v>
          </cell>
          <cell r="B259" t="str">
            <v>Canasta Apilable 0,75 Litros Color</v>
          </cell>
          <cell r="C259">
            <v>1000.6788</v>
          </cell>
          <cell r="D259">
            <v>12</v>
          </cell>
          <cell r="E259">
            <v>1.90125E-4</v>
          </cell>
        </row>
        <row r="260">
          <cell r="A260">
            <v>884</v>
          </cell>
          <cell r="B260" t="str">
            <v>Canasta Apilable 1,6 Litros</v>
          </cell>
          <cell r="C260">
            <v>1342.374</v>
          </cell>
          <cell r="D260">
            <v>12</v>
          </cell>
          <cell r="E260">
            <v>2.8499999999999999E-4</v>
          </cell>
        </row>
        <row r="261">
          <cell r="A261" t="str">
            <v>884/3</v>
          </cell>
          <cell r="B261" t="str">
            <v>Canasta Apilable 1,6 Litros Color</v>
          </cell>
          <cell r="C261">
            <v>1342.374</v>
          </cell>
          <cell r="D261">
            <v>12</v>
          </cell>
          <cell r="E261">
            <v>2.8499999999999999E-4</v>
          </cell>
        </row>
        <row r="262">
          <cell r="A262">
            <v>882</v>
          </cell>
          <cell r="B262" t="str">
            <v>Canasta Apilable 3,3 Litros</v>
          </cell>
          <cell r="C262">
            <v>2375.5952000000002</v>
          </cell>
          <cell r="D262">
            <v>12</v>
          </cell>
          <cell r="E262">
            <v>6.23092E-4</v>
          </cell>
        </row>
        <row r="263">
          <cell r="A263" t="str">
            <v>882/3</v>
          </cell>
          <cell r="B263" t="str">
            <v>Canasta Apilable 3,3 Litros Color</v>
          </cell>
          <cell r="C263">
            <v>2375.5952000000002</v>
          </cell>
          <cell r="D263">
            <v>12</v>
          </cell>
          <cell r="E263">
            <v>6.23092E-4</v>
          </cell>
        </row>
        <row r="264">
          <cell r="A264">
            <v>880</v>
          </cell>
          <cell r="B264" t="str">
            <v>Canasta Apilable 6,3 Litros</v>
          </cell>
          <cell r="C264">
            <v>2920.6804000000002</v>
          </cell>
          <cell r="D264">
            <v>12</v>
          </cell>
          <cell r="E264">
            <v>8.8931299999999997E-4</v>
          </cell>
        </row>
        <row r="265">
          <cell r="A265" t="str">
            <v>880/3</v>
          </cell>
          <cell r="B265" t="str">
            <v>Canasta Apilable 6,3 Litros Color</v>
          </cell>
          <cell r="C265">
            <v>2920.6804000000002</v>
          </cell>
          <cell r="D265">
            <v>12</v>
          </cell>
          <cell r="E265">
            <v>8.8931299999999997E-4</v>
          </cell>
        </row>
        <row r="266">
          <cell r="A266" t="str">
            <v>887/3</v>
          </cell>
          <cell r="B266" t="str">
            <v xml:space="preserve">Canasta de Compras 22 Itros </v>
          </cell>
          <cell r="C266">
            <v>3986.444</v>
          </cell>
          <cell r="D266">
            <v>6</v>
          </cell>
          <cell r="E266">
            <v>1.5E-3</v>
          </cell>
        </row>
        <row r="267">
          <cell r="A267"/>
          <cell r="B267" t="str">
            <v/>
          </cell>
          <cell r="C267"/>
          <cell r="D267"/>
          <cell r="E267" t="e">
            <v>#N/A</v>
          </cell>
        </row>
        <row r="268">
          <cell r="A268">
            <v>580</v>
          </cell>
          <cell r="B268" t="str">
            <v>Cucharón Sopa</v>
          </cell>
          <cell r="C268">
            <v>2115.2559999999999</v>
          </cell>
          <cell r="D268">
            <v>12</v>
          </cell>
          <cell r="E268">
            <v>4.1365599999999998E-4</v>
          </cell>
        </row>
        <row r="269">
          <cell r="A269">
            <v>581</v>
          </cell>
          <cell r="B269" t="str">
            <v>Espumadera</v>
          </cell>
          <cell r="C269">
            <v>2115.2559999999999</v>
          </cell>
          <cell r="D269">
            <v>12</v>
          </cell>
          <cell r="E269">
            <v>4.1365599999999998E-4</v>
          </cell>
        </row>
        <row r="270">
          <cell r="A270">
            <v>582</v>
          </cell>
          <cell r="B270" t="str">
            <v>Cuchara</v>
          </cell>
          <cell r="C270">
            <v>2115.2559999999999</v>
          </cell>
          <cell r="D270">
            <v>12</v>
          </cell>
          <cell r="E270">
            <v>4.1365599999999998E-4</v>
          </cell>
        </row>
        <row r="271">
          <cell r="A271">
            <v>585</v>
          </cell>
          <cell r="B271" t="str">
            <v>Espátula Cuadrada</v>
          </cell>
          <cell r="C271">
            <v>2115.2559999999999</v>
          </cell>
          <cell r="D271">
            <v>12</v>
          </cell>
          <cell r="E271">
            <v>4.1365599999999998E-4</v>
          </cell>
        </row>
        <row r="272">
          <cell r="A272">
            <v>587</v>
          </cell>
          <cell r="B272" t="str">
            <v>Pinza Para Servir Fideos</v>
          </cell>
          <cell r="C272">
            <v>2115.2559999999999</v>
          </cell>
          <cell r="D272">
            <v>12</v>
          </cell>
          <cell r="E272">
            <v>4.1365599999999998E-4</v>
          </cell>
        </row>
        <row r="273">
          <cell r="A273">
            <v>588</v>
          </cell>
          <cell r="B273" t="str">
            <v>Cucharón Panqueques</v>
          </cell>
          <cell r="C273">
            <v>2115.2559999999999</v>
          </cell>
          <cell r="D273">
            <v>12</v>
          </cell>
          <cell r="E273">
            <v>4.1365599999999998E-4</v>
          </cell>
        </row>
        <row r="274">
          <cell r="A274">
            <v>308</v>
          </cell>
          <cell r="B274" t="str">
            <v xml:space="preserve">Escurridor de Cubiertos Blanco  </v>
          </cell>
          <cell r="C274">
            <v>2099</v>
          </cell>
          <cell r="D274">
            <v>12</v>
          </cell>
          <cell r="E274">
            <v>4.5183300000000001E-4</v>
          </cell>
        </row>
        <row r="275">
          <cell r="A275" t="str">
            <v>308/3</v>
          </cell>
          <cell r="B275" t="str">
            <v xml:space="preserve">Escurridor Rojo   </v>
          </cell>
          <cell r="C275">
            <v>2099</v>
          </cell>
          <cell r="D275">
            <v>12</v>
          </cell>
          <cell r="E275">
            <v>4.5183300000000001E-4</v>
          </cell>
        </row>
        <row r="276">
          <cell r="A276">
            <v>311</v>
          </cell>
          <cell r="B276" t="str">
            <v xml:space="preserve">Set x 3 Compoteras 11cm. 0,240 lts.     </v>
          </cell>
          <cell r="C276">
            <v>1936</v>
          </cell>
          <cell r="D276">
            <v>12</v>
          </cell>
          <cell r="E276">
            <v>4.0424999999999999E-4</v>
          </cell>
        </row>
        <row r="277">
          <cell r="A277">
            <v>312</v>
          </cell>
          <cell r="B277" t="str">
            <v xml:space="preserve">Bols Cerealero 15cm. 0,68 lts.                  </v>
          </cell>
          <cell r="C277">
            <v>936</v>
          </cell>
          <cell r="D277">
            <v>12</v>
          </cell>
          <cell r="E277">
            <v>3.50365E-4</v>
          </cell>
        </row>
        <row r="278">
          <cell r="A278" t="str">
            <v>312/3</v>
          </cell>
          <cell r="B278" t="str">
            <v xml:space="preserve">Bols Cerealero 15cm. 0,68 lts.       </v>
          </cell>
          <cell r="C278">
            <v>936</v>
          </cell>
          <cell r="D278">
            <v>12</v>
          </cell>
          <cell r="E278">
            <v>3.50365E-4</v>
          </cell>
        </row>
        <row r="279">
          <cell r="A279">
            <v>313</v>
          </cell>
          <cell r="B279" t="str">
            <v xml:space="preserve">Ensaladera Ø19cm.X7,7cm.     </v>
          </cell>
          <cell r="C279">
            <v>1586</v>
          </cell>
          <cell r="D279">
            <v>12</v>
          </cell>
          <cell r="E279">
            <v>4.2116699999999996E-4</v>
          </cell>
        </row>
        <row r="280">
          <cell r="A280" t="str">
            <v>313/3</v>
          </cell>
          <cell r="B280" t="str">
            <v xml:space="preserve">Ensaladera Ø19cm.X7,7cm.                   </v>
          </cell>
          <cell r="C280">
            <v>1586</v>
          </cell>
          <cell r="D280">
            <v>12</v>
          </cell>
          <cell r="E280">
            <v>4.2116699999999996E-4</v>
          </cell>
        </row>
        <row r="281">
          <cell r="A281">
            <v>314</v>
          </cell>
          <cell r="B281" t="str">
            <v xml:space="preserve">Ensaladera Ø23cm.X9,5cm.       </v>
          </cell>
          <cell r="C281">
            <v>2286</v>
          </cell>
          <cell r="D281">
            <v>12</v>
          </cell>
          <cell r="E281">
            <v>8.2837500000000001E-4</v>
          </cell>
        </row>
        <row r="282">
          <cell r="A282" t="str">
            <v>314/3</v>
          </cell>
          <cell r="B282" t="str">
            <v xml:space="preserve">Ensaladera Ø23cm.X9,5cm.                         </v>
          </cell>
          <cell r="C282">
            <v>2286</v>
          </cell>
          <cell r="D282">
            <v>12</v>
          </cell>
          <cell r="E282">
            <v>8.2837500000000001E-4</v>
          </cell>
        </row>
        <row r="283">
          <cell r="A283">
            <v>315</v>
          </cell>
          <cell r="B283" t="str">
            <v xml:space="preserve">Ensaladera Ø28cm.X12cm.                             </v>
          </cell>
          <cell r="C283">
            <v>2921</v>
          </cell>
          <cell r="D283">
            <v>12</v>
          </cell>
          <cell r="E283">
            <v>8.2837500000000001E-4</v>
          </cell>
        </row>
        <row r="284">
          <cell r="A284" t="str">
            <v>315/3</v>
          </cell>
          <cell r="B284" t="str">
            <v xml:space="preserve">Ensaladera Ø28cm.X12cm.                             </v>
          </cell>
          <cell r="C284">
            <v>2921</v>
          </cell>
          <cell r="D284">
            <v>12</v>
          </cell>
          <cell r="E284">
            <v>8.2837500000000001E-4</v>
          </cell>
        </row>
        <row r="285">
          <cell r="A285">
            <v>317</v>
          </cell>
          <cell r="B285" t="str">
            <v>Tabla de Corte 27X18X0,5cm.</v>
          </cell>
          <cell r="C285">
            <v>4060</v>
          </cell>
          <cell r="D285">
            <v>12</v>
          </cell>
          <cell r="E285">
            <v>3.3916699999999997E-4</v>
          </cell>
        </row>
        <row r="286">
          <cell r="A286">
            <v>318</v>
          </cell>
          <cell r="B286" t="str">
            <v>Tabla de Corte 36X24X0,7cm.</v>
          </cell>
          <cell r="C286">
            <v>9584</v>
          </cell>
          <cell r="D286">
            <v>12</v>
          </cell>
          <cell r="E286">
            <v>6.3900000000000003E-4</v>
          </cell>
        </row>
        <row r="287">
          <cell r="A287">
            <v>319</v>
          </cell>
          <cell r="B287" t="str">
            <v xml:space="preserve">Tabla de Corte 43X27X0,8 cm.   </v>
          </cell>
          <cell r="C287">
            <v>10967</v>
          </cell>
          <cell r="D287">
            <v>12</v>
          </cell>
          <cell r="E287">
            <v>8.5462500000000002E-4</v>
          </cell>
        </row>
        <row r="288">
          <cell r="A288">
            <v>321</v>
          </cell>
          <cell r="B288" t="str">
            <v>Colador Con Mango 7,5cm.</v>
          </cell>
          <cell r="C288">
            <v>1424</v>
          </cell>
          <cell r="D288">
            <v>24</v>
          </cell>
          <cell r="E288">
            <v>2.3066999999999999E-4</v>
          </cell>
        </row>
        <row r="289">
          <cell r="A289">
            <v>322</v>
          </cell>
          <cell r="B289" t="str">
            <v>Colador Con Mango 11cm.</v>
          </cell>
          <cell r="C289">
            <v>2099</v>
          </cell>
          <cell r="D289">
            <v>12</v>
          </cell>
          <cell r="E289">
            <v>6.1200000000000002E-4</v>
          </cell>
        </row>
        <row r="290">
          <cell r="A290">
            <v>323</v>
          </cell>
          <cell r="B290" t="str">
            <v>Colador Con Mango 15cm.</v>
          </cell>
          <cell r="C290">
            <v>3620</v>
          </cell>
          <cell r="D290">
            <v>12</v>
          </cell>
          <cell r="E290">
            <v>1.3057280000000001E-3</v>
          </cell>
        </row>
        <row r="291">
          <cell r="A291">
            <v>324</v>
          </cell>
          <cell r="B291" t="str">
            <v>Colador Con Mango 19cm.</v>
          </cell>
          <cell r="C291">
            <v>5492</v>
          </cell>
          <cell r="D291">
            <v>12</v>
          </cell>
          <cell r="E291">
            <v>1.9429970000000001E-3</v>
          </cell>
        </row>
        <row r="292">
          <cell r="A292">
            <v>326</v>
          </cell>
          <cell r="B292" t="str">
            <v>Mostacero</v>
          </cell>
          <cell r="C292">
            <v>1546</v>
          </cell>
          <cell r="D292">
            <v>24</v>
          </cell>
          <cell r="E292">
            <v>3.8249999999999997E-4</v>
          </cell>
        </row>
        <row r="293">
          <cell r="A293">
            <v>328</v>
          </cell>
          <cell r="B293" t="str">
            <v>Molde Para Hacer Helados</v>
          </cell>
          <cell r="C293">
            <v>2766</v>
          </cell>
          <cell r="D293">
            <v>6</v>
          </cell>
          <cell r="E293">
            <v>1.533829E-3</v>
          </cell>
        </row>
        <row r="294">
          <cell r="A294">
            <v>331</v>
          </cell>
          <cell r="B294" t="str">
            <v xml:space="preserve">Campana Tortas Redonda 35cm.X13cm. </v>
          </cell>
          <cell r="C294">
            <v>8298</v>
          </cell>
          <cell r="D294">
            <v>6</v>
          </cell>
          <cell r="E294">
            <v>5.4519719999999994E-3</v>
          </cell>
        </row>
        <row r="295">
          <cell r="A295">
            <v>338</v>
          </cell>
          <cell r="B295" t="str">
            <v xml:space="preserve">Molde Porta Pan Lactal    </v>
          </cell>
          <cell r="C295">
            <v>3271</v>
          </cell>
          <cell r="D295">
            <v>12</v>
          </cell>
          <cell r="E295">
            <v>2.0969999999999999E-3</v>
          </cell>
        </row>
        <row r="296">
          <cell r="A296">
            <v>332</v>
          </cell>
          <cell r="B296" t="str">
            <v xml:space="preserve">Bandeja Rectangular 46X32cm.             </v>
          </cell>
          <cell r="C296">
            <v>5369</v>
          </cell>
          <cell r="D296">
            <v>6</v>
          </cell>
          <cell r="E296">
            <v>1.672125E-3</v>
          </cell>
        </row>
        <row r="297">
          <cell r="A297">
            <v>341</v>
          </cell>
          <cell r="B297" t="str">
            <v>Bandejas P/ Alimentos Blancas 28X19X6</v>
          </cell>
          <cell r="C297">
            <v>2270</v>
          </cell>
          <cell r="D297">
            <v>12</v>
          </cell>
          <cell r="E297">
            <v>3.48E-4</v>
          </cell>
        </row>
        <row r="298">
          <cell r="A298">
            <v>342</v>
          </cell>
          <cell r="B298" t="str">
            <v>Bandejas P/ Alimentos Blancas 44X28X8</v>
          </cell>
          <cell r="C298">
            <v>4857</v>
          </cell>
          <cell r="D298">
            <v>6</v>
          </cell>
          <cell r="E298">
            <v>1.0874999999999999E-3</v>
          </cell>
        </row>
        <row r="299">
          <cell r="A299">
            <v>343</v>
          </cell>
          <cell r="B299" t="str">
            <v>Bandejas P/ Alimentos Blancas 58X38X9</v>
          </cell>
          <cell r="C299">
            <v>8624</v>
          </cell>
          <cell r="D299">
            <v>6</v>
          </cell>
          <cell r="E299">
            <v>2.2420000000000001E-3</v>
          </cell>
        </row>
        <row r="300">
          <cell r="A300">
            <v>345</v>
          </cell>
          <cell r="B300" t="str">
            <v xml:space="preserve">Cubiertero Gde Con Tapa 35X31X5,5cm.  </v>
          </cell>
          <cell r="C300">
            <v>7241</v>
          </cell>
          <cell r="D300">
            <v>6</v>
          </cell>
          <cell r="E300">
            <v>3.6472919999999999E-3</v>
          </cell>
        </row>
        <row r="301">
          <cell r="A301" t="str">
            <v>345/3</v>
          </cell>
          <cell r="B301" t="str">
            <v xml:space="preserve">Cubiertero </v>
          </cell>
          <cell r="C301">
            <v>7241</v>
          </cell>
          <cell r="D301">
            <v>6</v>
          </cell>
          <cell r="E301">
            <v>3.6472919999999999E-3</v>
          </cell>
        </row>
        <row r="302">
          <cell r="A302">
            <v>346</v>
          </cell>
          <cell r="B302" t="str">
            <v xml:space="preserve">Cubiertero Gde Sin Tapa 34X31X5,5cm. </v>
          </cell>
          <cell r="C302">
            <v>5003</v>
          </cell>
          <cell r="D302">
            <v>6</v>
          </cell>
          <cell r="E302">
            <v>2.9155000000000001E-3</v>
          </cell>
        </row>
        <row r="303">
          <cell r="A303" t="str">
            <v>346/3</v>
          </cell>
          <cell r="B303" t="str">
            <v>Cubiertero</v>
          </cell>
          <cell r="C303">
            <v>5003</v>
          </cell>
          <cell r="D303">
            <v>6</v>
          </cell>
          <cell r="E303">
            <v>2.9155000000000001E-3</v>
          </cell>
        </row>
        <row r="304">
          <cell r="A304">
            <v>349</v>
          </cell>
          <cell r="B304" t="str">
            <v xml:space="preserve">Colador Con Mango 25cm.                   </v>
          </cell>
          <cell r="C304">
            <v>3246</v>
          </cell>
          <cell r="D304">
            <v>12</v>
          </cell>
          <cell r="E304">
            <v>8.3281299999999996E-4</v>
          </cell>
        </row>
        <row r="305">
          <cell r="A305" t="str">
            <v>349/3</v>
          </cell>
          <cell r="B305" t="str">
            <v>Colador</v>
          </cell>
          <cell r="C305">
            <v>3246</v>
          </cell>
          <cell r="D305">
            <v>12</v>
          </cell>
          <cell r="E305">
            <v>8.3281299999999996E-4</v>
          </cell>
        </row>
        <row r="306">
          <cell r="A306">
            <v>350</v>
          </cell>
          <cell r="B306" t="str">
            <v xml:space="preserve">Colador/Escurridor 24X9cm.         </v>
          </cell>
          <cell r="C306">
            <v>2197</v>
          </cell>
          <cell r="D306">
            <v>12</v>
          </cell>
          <cell r="E306">
            <v>8.4000000000000003E-4</v>
          </cell>
        </row>
        <row r="307">
          <cell r="A307" t="str">
            <v>350/3</v>
          </cell>
          <cell r="B307" t="str">
            <v xml:space="preserve">Colador </v>
          </cell>
          <cell r="C307">
            <v>2197</v>
          </cell>
          <cell r="D307">
            <v>12</v>
          </cell>
          <cell r="E307">
            <v>8.4000000000000003E-4</v>
          </cell>
        </row>
        <row r="308">
          <cell r="A308">
            <v>347</v>
          </cell>
          <cell r="B308" t="str">
            <v xml:space="preserve">Cubetera Para Hielo en Palitos     </v>
          </cell>
          <cell r="C308">
            <v>1399</v>
          </cell>
          <cell r="D308">
            <v>12</v>
          </cell>
          <cell r="E308">
            <v>2.1450000000000001E-4</v>
          </cell>
        </row>
        <row r="309">
          <cell r="A309" t="str">
            <v>347/3</v>
          </cell>
          <cell r="B309" t="str">
            <v>Cubetera</v>
          </cell>
          <cell r="C309">
            <v>1399</v>
          </cell>
          <cell r="D309">
            <v>12</v>
          </cell>
          <cell r="E309">
            <v>2.1450000000000001E-4</v>
          </cell>
        </row>
        <row r="310">
          <cell r="A310">
            <v>348</v>
          </cell>
          <cell r="B310" t="str">
            <v xml:space="preserve">Cubetera 26X11X3,2cm.                         </v>
          </cell>
          <cell r="C310">
            <v>1399</v>
          </cell>
          <cell r="D310">
            <v>12</v>
          </cell>
          <cell r="E310">
            <v>2.62167E-4</v>
          </cell>
        </row>
        <row r="311">
          <cell r="A311" t="str">
            <v>348/3</v>
          </cell>
          <cell r="B311" t="str">
            <v xml:space="preserve">Cubetera </v>
          </cell>
          <cell r="C311">
            <v>1399</v>
          </cell>
          <cell r="D311">
            <v>12</v>
          </cell>
          <cell r="E311">
            <v>2.62167E-4</v>
          </cell>
        </row>
        <row r="312">
          <cell r="A312">
            <v>351</v>
          </cell>
          <cell r="B312" t="str">
            <v xml:space="preserve">Cubetera 16 Hielos                    </v>
          </cell>
          <cell r="C312">
            <v>2441</v>
          </cell>
          <cell r="D312">
            <v>12</v>
          </cell>
          <cell r="E312">
            <v>3.1250000000000001E-4</v>
          </cell>
        </row>
        <row r="313">
          <cell r="A313" t="str">
            <v>351/3</v>
          </cell>
          <cell r="B313" t="str">
            <v>Cubetera</v>
          </cell>
          <cell r="C313">
            <v>2441</v>
          </cell>
          <cell r="D313">
            <v>12</v>
          </cell>
          <cell r="E313">
            <v>3.1250000000000001E-4</v>
          </cell>
        </row>
        <row r="314">
          <cell r="A314">
            <v>1260</v>
          </cell>
          <cell r="B314" t="str">
            <v>Cubetera Flexible 27X12X4cm</v>
          </cell>
          <cell r="C314">
            <v>2359</v>
          </cell>
          <cell r="D314">
            <v>12</v>
          </cell>
          <cell r="E314">
            <v>5.13771E-4</v>
          </cell>
        </row>
        <row r="315">
          <cell r="A315">
            <v>352</v>
          </cell>
          <cell r="B315" t="str">
            <v xml:space="preserve">Colador de Pastas 24X11cm.         </v>
          </cell>
          <cell r="C315">
            <v>2376</v>
          </cell>
          <cell r="D315">
            <v>12</v>
          </cell>
          <cell r="E315">
            <v>1.1039999999999999E-3</v>
          </cell>
        </row>
        <row r="316">
          <cell r="A316" t="str">
            <v>352/3</v>
          </cell>
          <cell r="B316" t="str">
            <v xml:space="preserve">Colador </v>
          </cell>
          <cell r="C316">
            <v>2376</v>
          </cell>
          <cell r="D316">
            <v>12</v>
          </cell>
          <cell r="E316">
            <v>1.1039999999999999E-3</v>
          </cell>
        </row>
        <row r="317">
          <cell r="A317">
            <v>353</v>
          </cell>
          <cell r="B317" t="str">
            <v xml:space="preserve">Escurridor de Platos                            </v>
          </cell>
          <cell r="C317">
            <v>3661</v>
          </cell>
          <cell r="D317">
            <v>12</v>
          </cell>
          <cell r="E317">
            <v>1.554E-3</v>
          </cell>
        </row>
        <row r="318">
          <cell r="A318" t="str">
            <v>353/3</v>
          </cell>
          <cell r="B318" t="str">
            <v xml:space="preserve">Escurridor </v>
          </cell>
          <cell r="C318">
            <v>3661</v>
          </cell>
          <cell r="D318">
            <v>12</v>
          </cell>
          <cell r="E318">
            <v>1.554E-3</v>
          </cell>
        </row>
        <row r="319">
          <cell r="A319">
            <v>354</v>
          </cell>
          <cell r="B319" t="str">
            <v xml:space="preserve">Escurridor de Platos Sin Bandeja         </v>
          </cell>
          <cell r="C319">
            <v>7379</v>
          </cell>
          <cell r="D319">
            <v>6</v>
          </cell>
          <cell r="E319">
            <v>7.6439999999999998E-3</v>
          </cell>
        </row>
        <row r="320">
          <cell r="A320" t="str">
            <v>354/3</v>
          </cell>
          <cell r="B320" t="str">
            <v xml:space="preserve">Escurridor </v>
          </cell>
          <cell r="C320">
            <v>7379</v>
          </cell>
          <cell r="D320">
            <v>6</v>
          </cell>
          <cell r="E320">
            <v>7.6439999999999998E-3</v>
          </cell>
        </row>
        <row r="321">
          <cell r="A321" t="str">
            <v>354C</v>
          </cell>
          <cell r="B321" t="str">
            <v>Escurridor de Platos  46X32X10cm. Con Bandeja</v>
          </cell>
          <cell r="C321">
            <v>12854</v>
          </cell>
          <cell r="D321">
            <v>6</v>
          </cell>
          <cell r="E321">
            <v>7.6439999999999998E-3</v>
          </cell>
        </row>
        <row r="322">
          <cell r="A322">
            <v>355</v>
          </cell>
          <cell r="B322" t="str">
            <v xml:space="preserve">Cubiertero Mediano c/Tapa 35X24X5,5cm.   </v>
          </cell>
          <cell r="C322">
            <v>6517</v>
          </cell>
          <cell r="D322">
            <v>12</v>
          </cell>
          <cell r="E322">
            <v>2.6565E-3</v>
          </cell>
        </row>
        <row r="323">
          <cell r="A323" t="str">
            <v>355/3</v>
          </cell>
          <cell r="B323" t="str">
            <v xml:space="preserve">Cubiertero </v>
          </cell>
          <cell r="C323">
            <v>6517</v>
          </cell>
          <cell r="D323">
            <v>12</v>
          </cell>
          <cell r="E323">
            <v>2.6565E-3</v>
          </cell>
        </row>
        <row r="324">
          <cell r="A324">
            <v>356</v>
          </cell>
          <cell r="B324" t="str">
            <v xml:space="preserve">Cubiertero Mediano Sin Tapa 34X23X5cm.   </v>
          </cell>
          <cell r="C324">
            <v>3661</v>
          </cell>
          <cell r="D324">
            <v>12</v>
          </cell>
          <cell r="E324">
            <v>2.0497199999999997E-3</v>
          </cell>
        </row>
        <row r="325">
          <cell r="A325" t="str">
            <v>356/6</v>
          </cell>
          <cell r="B325" t="str">
            <v xml:space="preserve">Cubiertero </v>
          </cell>
          <cell r="C325">
            <v>3661</v>
          </cell>
          <cell r="D325">
            <v>12</v>
          </cell>
          <cell r="E325">
            <v>2.0497199999999997E-3</v>
          </cell>
        </row>
        <row r="326">
          <cell r="A326">
            <v>357</v>
          </cell>
          <cell r="B326" t="str">
            <v>Basurero Para Pileta 2,4 Litros</v>
          </cell>
          <cell r="C326">
            <v>3246</v>
          </cell>
          <cell r="D326">
            <v>12</v>
          </cell>
          <cell r="E326">
            <v>1.1142210000000001E-3</v>
          </cell>
        </row>
        <row r="327">
          <cell r="A327">
            <v>361</v>
          </cell>
          <cell r="B327" t="str">
            <v>Jabonera Con Tapa</v>
          </cell>
          <cell r="C327">
            <v>822</v>
          </cell>
          <cell r="D327">
            <v>24</v>
          </cell>
          <cell r="E327">
            <v>3.7654199999999995E-4</v>
          </cell>
        </row>
        <row r="328">
          <cell r="A328">
            <v>362</v>
          </cell>
          <cell r="B328" t="str">
            <v xml:space="preserve">Porta Jabon, Esponja y Detergente   </v>
          </cell>
          <cell r="C328">
            <v>2099</v>
          </cell>
          <cell r="D328">
            <v>12</v>
          </cell>
          <cell r="E328">
            <v>5.9691699999999998E-4</v>
          </cell>
        </row>
        <row r="329">
          <cell r="A329">
            <v>432</v>
          </cell>
          <cell r="B329" t="str">
            <v xml:space="preserve">Bandeja Fast Food 49X34           </v>
          </cell>
          <cell r="C329">
            <v>5012</v>
          </cell>
          <cell r="D329">
            <v>12</v>
          </cell>
          <cell r="E329">
            <v>7.7031600000000006E-4</v>
          </cell>
        </row>
        <row r="330">
          <cell r="A330">
            <v>590</v>
          </cell>
          <cell r="B330" t="str">
            <v xml:space="preserve">Secador de Pileta 14cm.         </v>
          </cell>
          <cell r="C330">
            <v>1058</v>
          </cell>
          <cell r="D330">
            <v>12</v>
          </cell>
          <cell r="E330">
            <v>2.0790000000000001E-4</v>
          </cell>
        </row>
        <row r="331">
          <cell r="A331" t="str">
            <v>590/3</v>
          </cell>
          <cell r="B331" t="str">
            <v xml:space="preserve">Secador </v>
          </cell>
          <cell r="C331">
            <v>1058</v>
          </cell>
          <cell r="D331">
            <v>12</v>
          </cell>
          <cell r="E331">
            <v>2.0790000000000001E-4</v>
          </cell>
        </row>
        <row r="332">
          <cell r="A332">
            <v>591</v>
          </cell>
          <cell r="B332" t="str">
            <v xml:space="preserve">Secador de Pileta 22cm.                      </v>
          </cell>
          <cell r="C332">
            <v>2075</v>
          </cell>
          <cell r="D332">
            <v>12</v>
          </cell>
          <cell r="E332">
            <v>5.0347200000000003E-4</v>
          </cell>
        </row>
        <row r="333">
          <cell r="A333" t="str">
            <v>591/3</v>
          </cell>
          <cell r="B333" t="str">
            <v xml:space="preserve">Secador </v>
          </cell>
          <cell r="C333">
            <v>2075</v>
          </cell>
          <cell r="D333">
            <v>12</v>
          </cell>
          <cell r="E333">
            <v>5.0347200000000003E-4</v>
          </cell>
        </row>
        <row r="334">
          <cell r="A334">
            <v>692</v>
          </cell>
          <cell r="B334" t="str">
            <v>Portarrollo de Cocina</v>
          </cell>
          <cell r="C334">
            <v>3108</v>
          </cell>
          <cell r="D334">
            <v>12</v>
          </cell>
          <cell r="E334">
            <v>7.7620399999999996E-4</v>
          </cell>
        </row>
        <row r="335">
          <cell r="A335">
            <v>810</v>
          </cell>
          <cell r="B335" t="str">
            <v xml:space="preserve">Tapa Para Microondas 27X7cm.  </v>
          </cell>
          <cell r="C335">
            <v>2921</v>
          </cell>
          <cell r="D335">
            <v>12</v>
          </cell>
          <cell r="E335">
            <v>7.2900000000000005E-4</v>
          </cell>
        </row>
        <row r="336">
          <cell r="A336">
            <v>871</v>
          </cell>
          <cell r="B336" t="str">
            <v>Servilletero</v>
          </cell>
          <cell r="C336">
            <v>1058</v>
          </cell>
          <cell r="D336">
            <v>12</v>
          </cell>
          <cell r="E336">
            <v>4.2861E-4</v>
          </cell>
        </row>
        <row r="337">
          <cell r="A337">
            <v>875</v>
          </cell>
          <cell r="B337" t="str">
            <v>Azucarera 350ml</v>
          </cell>
          <cell r="C337">
            <v>2433</v>
          </cell>
          <cell r="D337">
            <v>12</v>
          </cell>
          <cell r="E337">
            <v>1.3064000000000001E-3</v>
          </cell>
        </row>
        <row r="338">
          <cell r="A338">
            <v>877</v>
          </cell>
          <cell r="B338" t="str">
            <v>Porta Sorbetes</v>
          </cell>
          <cell r="C338">
            <v>1822</v>
          </cell>
          <cell r="D338">
            <v>12</v>
          </cell>
          <cell r="E338" t="e">
            <v>#N/A</v>
          </cell>
        </row>
        <row r="339">
          <cell r="A339">
            <v>751</v>
          </cell>
          <cell r="B339" t="str">
            <v xml:space="preserve">Botella  Con Pico 0.250 Litros </v>
          </cell>
          <cell r="C339">
            <v>1749.154</v>
          </cell>
          <cell r="D339">
            <v>12</v>
          </cell>
          <cell r="E339">
            <v>4.8125000000000002E-4</v>
          </cell>
        </row>
        <row r="340">
          <cell r="A340">
            <v>752</v>
          </cell>
          <cell r="B340" t="str">
            <v xml:space="preserve">Botella  Con Pico 0.500 Litros </v>
          </cell>
          <cell r="C340">
            <v>2196.6120000000001</v>
          </cell>
          <cell r="D340">
            <v>12</v>
          </cell>
          <cell r="E340">
            <v>8.2891699999999998E-4</v>
          </cell>
        </row>
        <row r="341">
          <cell r="A341">
            <v>753</v>
          </cell>
          <cell r="B341" t="str">
            <v>Botella Infantil Con Pico 0,300 Lt. Gato</v>
          </cell>
          <cell r="C341">
            <v>2212.8831999999998</v>
          </cell>
          <cell r="D341">
            <v>12</v>
          </cell>
          <cell r="E341">
            <v>5.5900000000000004E-4</v>
          </cell>
        </row>
        <row r="342">
          <cell r="A342">
            <v>754</v>
          </cell>
          <cell r="B342" t="str">
            <v>Botella Infantil Con Pico 0,300 Lt. Vaca</v>
          </cell>
          <cell r="C342">
            <v>2212.8831999999998</v>
          </cell>
          <cell r="D342">
            <v>12</v>
          </cell>
          <cell r="E342">
            <v>5.8724000000000005E-4</v>
          </cell>
        </row>
        <row r="343">
          <cell r="A343">
            <v>756</v>
          </cell>
          <cell r="B343" t="str">
            <v xml:space="preserve">Botella Con Pico 0.500 lts. Redonda </v>
          </cell>
          <cell r="C343">
            <v>2237.29</v>
          </cell>
          <cell r="D343">
            <v>12</v>
          </cell>
          <cell r="E343">
            <v>1.0142999999999999E-3</v>
          </cell>
        </row>
        <row r="344">
          <cell r="A344">
            <v>757</v>
          </cell>
          <cell r="B344" t="str">
            <v xml:space="preserve">Botella Con Pico 0.750 lts. Redonda </v>
          </cell>
          <cell r="C344">
            <v>2375.5952000000002</v>
          </cell>
          <cell r="D344">
            <v>12</v>
          </cell>
          <cell r="E344">
            <v>1.225E-3</v>
          </cell>
        </row>
        <row r="345">
          <cell r="A345" t="str">
            <v>756/30</v>
          </cell>
          <cell r="B345" t="str">
            <v>Botella Con Válvula 0.500 lts. Sport</v>
          </cell>
          <cell r="C345">
            <v>2310.5104000000001</v>
          </cell>
          <cell r="D345">
            <v>12</v>
          </cell>
          <cell r="E345">
            <v>1.078E-3</v>
          </cell>
        </row>
        <row r="346">
          <cell r="A346" t="str">
            <v>757/30</v>
          </cell>
          <cell r="B346" t="str">
            <v>Botella Con Válvula 0.750 lts. Sport</v>
          </cell>
          <cell r="C346">
            <v>2546.4428000000003</v>
          </cell>
          <cell r="D346">
            <v>12</v>
          </cell>
          <cell r="E346">
            <v>1.3531559999999999E-3</v>
          </cell>
        </row>
        <row r="347">
          <cell r="A347">
            <v>761</v>
          </cell>
          <cell r="B347" t="str">
            <v xml:space="preserve">Botella Con Tapa  1.0 lts. Redonda </v>
          </cell>
          <cell r="C347">
            <v>2033.9</v>
          </cell>
          <cell r="D347">
            <v>12</v>
          </cell>
          <cell r="E347">
            <v>1.81485E-3</v>
          </cell>
        </row>
        <row r="348">
          <cell r="A348">
            <v>762</v>
          </cell>
          <cell r="B348" t="str">
            <v xml:space="preserve">Botella Con Tapa  1.5 lts. Redonda </v>
          </cell>
          <cell r="C348">
            <v>2310.5104000000001</v>
          </cell>
          <cell r="D348">
            <v>12</v>
          </cell>
          <cell r="E348">
            <v>2.4921880000000002E-3</v>
          </cell>
        </row>
        <row r="349">
          <cell r="A349">
            <v>766</v>
          </cell>
          <cell r="B349" t="str">
            <v>Botella Con Tapa  1.75 lts. Oval</v>
          </cell>
          <cell r="C349">
            <v>2920.6804000000002</v>
          </cell>
          <cell r="D349">
            <v>12</v>
          </cell>
          <cell r="E349">
            <v>2.9620320000000003E-3</v>
          </cell>
        </row>
        <row r="350">
          <cell r="A350">
            <v>767</v>
          </cell>
          <cell r="B350" t="str">
            <v xml:space="preserve">Botella Con Tapa  2.50 lts. Oval </v>
          </cell>
          <cell r="C350">
            <v>3766.7828000000004</v>
          </cell>
          <cell r="D350">
            <v>6</v>
          </cell>
          <cell r="E350">
            <v>4.235E-3</v>
          </cell>
        </row>
        <row r="351">
          <cell r="A351">
            <v>768</v>
          </cell>
          <cell r="B351" t="str">
            <v>Botella Con Tapa  3.50 lts. Oval</v>
          </cell>
          <cell r="C351">
            <v>4555.9359999999997</v>
          </cell>
          <cell r="D351">
            <v>6</v>
          </cell>
          <cell r="E351">
            <v>7.058333E-3</v>
          </cell>
        </row>
        <row r="352">
          <cell r="A352" t="str">
            <v>SR91/1</v>
          </cell>
          <cell r="B352" t="str">
            <v>Botella Deportiva Abre Facil  500ml Rosa</v>
          </cell>
          <cell r="C352">
            <v>5950</v>
          </cell>
          <cell r="D352">
            <v>12</v>
          </cell>
          <cell r="E352">
            <v>1.234333E-3</v>
          </cell>
        </row>
        <row r="353">
          <cell r="A353" t="str">
            <v>SR91/2</v>
          </cell>
          <cell r="B353" t="str">
            <v>Botella Deportiva Abre Facil  500ml Azul</v>
          </cell>
          <cell r="C353">
            <v>5950</v>
          </cell>
          <cell r="D353">
            <v>12</v>
          </cell>
          <cell r="E353">
            <v>1.234333E-3</v>
          </cell>
        </row>
        <row r="354">
          <cell r="A354" t="str">
            <v>SR91/3</v>
          </cell>
          <cell r="B354" t="str">
            <v>Botella Deportiva Abre Facil  500ml Gris Oscuro</v>
          </cell>
          <cell r="C354">
            <v>5950</v>
          </cell>
          <cell r="D354">
            <v>12</v>
          </cell>
          <cell r="E354">
            <v>1.234333E-3</v>
          </cell>
        </row>
        <row r="355">
          <cell r="A355" t="str">
            <v>SR96/1</v>
          </cell>
          <cell r="B355" t="str">
            <v>Botella Deportiva c/Válvula 500ml Rosa</v>
          </cell>
          <cell r="C355">
            <v>4450</v>
          </cell>
          <cell r="D355">
            <v>12</v>
          </cell>
          <cell r="E355">
            <v>1.234333E-3</v>
          </cell>
        </row>
        <row r="356">
          <cell r="A356" t="str">
            <v>SR96/2</v>
          </cell>
          <cell r="B356" t="str">
            <v>Botella Deportiva c/Válvula 500ml Azul</v>
          </cell>
          <cell r="C356">
            <v>4450</v>
          </cell>
          <cell r="D356">
            <v>12</v>
          </cell>
          <cell r="E356">
            <v>1.234333E-3</v>
          </cell>
        </row>
        <row r="357">
          <cell r="A357" t="str">
            <v>SR96/3</v>
          </cell>
          <cell r="B357" t="str">
            <v>Botella Deportiva c/Válvula 500ml Gris Oscuro</v>
          </cell>
          <cell r="C357">
            <v>4450</v>
          </cell>
          <cell r="D357">
            <v>12</v>
          </cell>
          <cell r="E357">
            <v>1.234333E-3</v>
          </cell>
        </row>
        <row r="358">
          <cell r="A358" t="str">
            <v>9103-10</v>
          </cell>
          <cell r="B358" t="str">
            <v>Percha Para Adultos Packx10</v>
          </cell>
          <cell r="C358">
            <v>4503.4482758620688</v>
          </cell>
          <cell r="D358">
            <v>12</v>
          </cell>
          <cell r="E358">
            <v>3.1783130000000003E-3</v>
          </cell>
        </row>
        <row r="359">
          <cell r="A359" t="str">
            <v>9103-6</v>
          </cell>
          <cell r="B359" t="str">
            <v>Percha Para Adultos Packx6</v>
          </cell>
          <cell r="C359">
            <v>2750</v>
          </cell>
          <cell r="D359">
            <v>24</v>
          </cell>
          <cell r="E359">
            <v>1.8508750000000001E-3</v>
          </cell>
        </row>
        <row r="360">
          <cell r="A360" t="str">
            <v>9107/310</v>
          </cell>
          <cell r="B360" t="str">
            <v>Percha Infantil Packx3 Celeste</v>
          </cell>
          <cell r="C360">
            <v>2568.9655172413795</v>
          </cell>
          <cell r="D360">
            <v>24</v>
          </cell>
          <cell r="E360">
            <v>4.5082799999999996E-4</v>
          </cell>
        </row>
        <row r="361">
          <cell r="A361" t="str">
            <v>9107/3-9</v>
          </cell>
          <cell r="B361" t="str">
            <v>Percha Infantil Packx3 Rosa</v>
          </cell>
          <cell r="C361">
            <v>2568.9655172413795</v>
          </cell>
          <cell r="D361">
            <v>24</v>
          </cell>
          <cell r="E361">
            <v>4.5082799999999996E-4</v>
          </cell>
        </row>
        <row r="362">
          <cell r="A362" t="str">
            <v>9110P/22</v>
          </cell>
          <cell r="B362" t="str">
            <v>Percha c/Presillas Packx2 Bca</v>
          </cell>
          <cell r="C362">
            <v>4772.4137931034484</v>
          </cell>
          <cell r="D362">
            <v>36</v>
          </cell>
          <cell r="E362">
            <v>8.7067999999999998E-4</v>
          </cell>
        </row>
        <row r="363">
          <cell r="A363" t="str">
            <v>9110P/28</v>
          </cell>
          <cell r="B363" t="str">
            <v>Percha c/Presillas Packx2 Neg</v>
          </cell>
          <cell r="C363">
            <v>4772.4137931034484</v>
          </cell>
          <cell r="D363">
            <v>36</v>
          </cell>
          <cell r="E363">
            <v>8.7067999999999998E-4</v>
          </cell>
        </row>
        <row r="364">
          <cell r="A364" t="str">
            <v>9105/616</v>
          </cell>
          <cell r="B364" t="str">
            <v>Percha Con Gancho Packx6 Gris</v>
          </cell>
          <cell r="C364">
            <v>5358.620689655173</v>
          </cell>
          <cell r="D364">
            <v>24</v>
          </cell>
          <cell r="E364">
            <v>2.2608200000000002E-3</v>
          </cell>
        </row>
        <row r="365">
          <cell r="A365" t="str">
            <v>9105/617</v>
          </cell>
          <cell r="B365" t="str">
            <v>Percha Con Gancho Packx6 Azul</v>
          </cell>
          <cell r="C365">
            <v>5358.620689655173</v>
          </cell>
          <cell r="D365">
            <v>24</v>
          </cell>
          <cell r="E365">
            <v>2.2608200000000002E-3</v>
          </cell>
        </row>
        <row r="366">
          <cell r="A366" t="str">
            <v>106/1-2</v>
          </cell>
          <cell r="B366" t="str">
            <v>Percha Adultos Pack X3 Blanca</v>
          </cell>
          <cell r="C366">
            <v>3991.9762079999996</v>
          </cell>
          <cell r="D366">
            <v>48</v>
          </cell>
          <cell r="E366">
            <v>2.8E-3</v>
          </cell>
        </row>
        <row r="367">
          <cell r="A367" t="str">
            <v>602/7</v>
          </cell>
          <cell r="B367" t="str">
            <v>Palangana Mediana5,000 lts. Color</v>
          </cell>
          <cell r="C367">
            <v>3644.7487999999998</v>
          </cell>
          <cell r="D367">
            <v>12</v>
          </cell>
          <cell r="E367">
            <v>7.3130499999999991E-4</v>
          </cell>
        </row>
        <row r="368">
          <cell r="A368">
            <v>603</v>
          </cell>
          <cell r="B368" t="str">
            <v xml:space="preserve">Palangana Grande 7,200 Litros </v>
          </cell>
          <cell r="C368">
            <v>5369.4960000000001</v>
          </cell>
          <cell r="D368">
            <v>6</v>
          </cell>
          <cell r="E368">
            <v>1.2871149999999999E-3</v>
          </cell>
        </row>
        <row r="369">
          <cell r="A369" t="str">
            <v>603/7</v>
          </cell>
          <cell r="B369" t="str">
            <v>Palangana Grande 7,200 lts. Color</v>
          </cell>
          <cell r="C369">
            <v>5369.4960000000001</v>
          </cell>
          <cell r="D369">
            <v>6</v>
          </cell>
          <cell r="E369">
            <v>1.2871149999999999E-3</v>
          </cell>
        </row>
        <row r="370">
          <cell r="A370">
            <v>604</v>
          </cell>
          <cell r="B370" t="str">
            <v>Palangana Super Grande 15,700 Litros</v>
          </cell>
          <cell r="C370">
            <v>8176.2780000000002</v>
          </cell>
          <cell r="D370">
            <v>6</v>
          </cell>
          <cell r="E370">
            <v>3.2451900000000002E-3</v>
          </cell>
        </row>
        <row r="371">
          <cell r="A371" t="str">
            <v>604/7</v>
          </cell>
          <cell r="B371" t="str">
            <v>Palangana Super Grande 15,7 lts. Color</v>
          </cell>
          <cell r="C371">
            <v>8168.1423999999997</v>
          </cell>
          <cell r="D371">
            <v>6</v>
          </cell>
          <cell r="E371">
            <v>3.2451900000000002E-3</v>
          </cell>
        </row>
        <row r="372">
          <cell r="A372">
            <v>607</v>
          </cell>
          <cell r="B372" t="str">
            <v>Canasto Para Ropa 46,5 Litros</v>
          </cell>
          <cell r="C372">
            <v>16677.98</v>
          </cell>
          <cell r="D372">
            <v>6</v>
          </cell>
          <cell r="E372">
            <v>2.2769999999999999E-2</v>
          </cell>
        </row>
        <row r="373">
          <cell r="A373" t="str">
            <v>607/7</v>
          </cell>
          <cell r="B373" t="str">
            <v>Canasto Para Ropa 46,5 Litros Color</v>
          </cell>
          <cell r="C373">
            <v>16677.98</v>
          </cell>
          <cell r="D373">
            <v>6</v>
          </cell>
          <cell r="E373">
            <v>2.2769999999999999E-2</v>
          </cell>
        </row>
        <row r="374">
          <cell r="A374">
            <v>620</v>
          </cell>
          <cell r="B374" t="str">
            <v>Canasto Para Ropa 30 Litros</v>
          </cell>
          <cell r="C374">
            <v>8623.7360000000008</v>
          </cell>
          <cell r="D374">
            <v>6</v>
          </cell>
          <cell r="E374">
            <v>4.4556600000000002E-3</v>
          </cell>
        </row>
        <row r="375">
          <cell r="A375" t="str">
            <v>620/7</v>
          </cell>
          <cell r="B375" t="str">
            <v>Canasto Para Ropa 30 Litros Color</v>
          </cell>
          <cell r="C375">
            <v>8623.7360000000008</v>
          </cell>
          <cell r="D375">
            <v>6</v>
          </cell>
          <cell r="E375">
            <v>4.3752499999999998E-3</v>
          </cell>
        </row>
        <row r="376">
          <cell r="A376">
            <v>610</v>
          </cell>
          <cell r="B376" t="str">
            <v>Balde Chico 8,000 Litros</v>
          </cell>
          <cell r="C376">
            <v>4555.9359999999997</v>
          </cell>
          <cell r="D376">
            <v>6</v>
          </cell>
          <cell r="E376">
            <v>1.1907199999999999E-3</v>
          </cell>
        </row>
        <row r="377">
          <cell r="A377" t="str">
            <v>610/7</v>
          </cell>
          <cell r="B377" t="str">
            <v>Balde Chico 8,000 Litros Color</v>
          </cell>
          <cell r="C377">
            <v>4555.9359999999997</v>
          </cell>
          <cell r="D377">
            <v>6</v>
          </cell>
          <cell r="E377">
            <v>1.1907199999999999E-3</v>
          </cell>
        </row>
        <row r="378">
          <cell r="A378">
            <v>615</v>
          </cell>
          <cell r="B378" t="str">
            <v>Balde Grande 15,000 Litros</v>
          </cell>
          <cell r="C378">
            <v>7484.7519999999995</v>
          </cell>
          <cell r="D378">
            <v>6</v>
          </cell>
          <cell r="E378">
            <v>1.8905419999999998E-3</v>
          </cell>
        </row>
        <row r="379">
          <cell r="A379" t="str">
            <v>615/7</v>
          </cell>
          <cell r="B379" t="str">
            <v>Balde Grande 15,000 Litros Color</v>
          </cell>
          <cell r="C379">
            <v>7484.7519999999995</v>
          </cell>
          <cell r="D379">
            <v>6</v>
          </cell>
          <cell r="E379">
            <v>1.8905419999999998E-3</v>
          </cell>
        </row>
        <row r="380">
          <cell r="A380">
            <v>909</v>
          </cell>
          <cell r="B380" t="str">
            <v>Quita Pelusa Con 2 Repuestos</v>
          </cell>
          <cell r="C380">
            <v>6800</v>
          </cell>
          <cell r="D380">
            <v>12</v>
          </cell>
          <cell r="E380">
            <v>1.311032E-3</v>
          </cell>
        </row>
        <row r="381">
          <cell r="A381">
            <v>898</v>
          </cell>
          <cell r="B381" t="str">
            <v xml:space="preserve">Canasto Para Broches de Ropa  </v>
          </cell>
          <cell r="C381">
            <v>1496.9504000000002</v>
          </cell>
          <cell r="D381">
            <v>12</v>
          </cell>
          <cell r="E381">
            <v>6.3997499999999998E-4</v>
          </cell>
        </row>
        <row r="382">
          <cell r="A382" t="str">
            <v>898/3</v>
          </cell>
          <cell r="B382" t="str">
            <v>Canasto Para Broches de Ropa Color</v>
          </cell>
          <cell r="C382">
            <v>1496.9504000000002</v>
          </cell>
          <cell r="D382">
            <v>12</v>
          </cell>
          <cell r="E382">
            <v>6.3997499999999998E-4</v>
          </cell>
        </row>
        <row r="383">
          <cell r="A383">
            <v>210</v>
          </cell>
          <cell r="B383" t="str">
            <v xml:space="preserve">Palangana Chica 9  lts. </v>
          </cell>
          <cell r="C383">
            <v>5369.4960000000001</v>
          </cell>
          <cell r="D383">
            <v>6</v>
          </cell>
          <cell r="E383">
            <v>1.9778650000000001E-3</v>
          </cell>
        </row>
        <row r="384">
          <cell r="A384" t="str">
            <v>210/1</v>
          </cell>
          <cell r="B384" t="str">
            <v>Palangana Chica 9  lts.  Lila</v>
          </cell>
          <cell r="C384">
            <v>5369.4960000000001</v>
          </cell>
          <cell r="D384">
            <v>6</v>
          </cell>
          <cell r="E384">
            <v>1.9778650000000001E-3</v>
          </cell>
        </row>
        <row r="385">
          <cell r="A385">
            <v>220</v>
          </cell>
          <cell r="B385" t="str">
            <v xml:space="preserve">Palangana Mediana 14 lts. </v>
          </cell>
          <cell r="C385">
            <v>7590.5148000000008</v>
          </cell>
          <cell r="D385">
            <v>6</v>
          </cell>
          <cell r="E385">
            <v>3.072062E-3</v>
          </cell>
        </row>
        <row r="386">
          <cell r="A386" t="str">
            <v>220/1</v>
          </cell>
          <cell r="B386" t="str">
            <v>Palangana Mediana 14 lts.  Lila</v>
          </cell>
          <cell r="C386">
            <v>7590.5148000000008</v>
          </cell>
          <cell r="D386">
            <v>6</v>
          </cell>
          <cell r="E386">
            <v>3.072062E-3</v>
          </cell>
        </row>
        <row r="387">
          <cell r="A387">
            <v>230</v>
          </cell>
          <cell r="B387" t="str">
            <v xml:space="preserve">Palangana Grande 27,5 lts. </v>
          </cell>
          <cell r="C387">
            <v>13016.960000000001</v>
          </cell>
          <cell r="D387">
            <v>6</v>
          </cell>
          <cell r="E387">
            <v>5.7027650000000003E-3</v>
          </cell>
        </row>
        <row r="388">
          <cell r="A388" t="str">
            <v>230/1</v>
          </cell>
          <cell r="B388" t="str">
            <v>Palangana Grande 27,5 lts.  Lila</v>
          </cell>
          <cell r="C388">
            <v>13016.960000000001</v>
          </cell>
          <cell r="D388">
            <v>6</v>
          </cell>
          <cell r="E388">
            <v>5.7027650000000003E-3</v>
          </cell>
        </row>
        <row r="389">
          <cell r="A389" t="str">
            <v>225/1</v>
          </cell>
          <cell r="B389" t="str">
            <v>Palangana Cuadrada 10 Litros  Lila</v>
          </cell>
          <cell r="C389">
            <v>5125.4279999999999</v>
          </cell>
          <cell r="D389">
            <v>6</v>
          </cell>
          <cell r="E389">
            <v>2.0154999999999999E-3</v>
          </cell>
        </row>
        <row r="390">
          <cell r="A390">
            <v>234</v>
          </cell>
          <cell r="B390" t="str">
            <v xml:space="preserve">Balde 20 Litros Con Ruedas </v>
          </cell>
          <cell r="C390">
            <v>12122.044000000002</v>
          </cell>
          <cell r="D390">
            <v>6</v>
          </cell>
          <cell r="E390">
            <v>3.0000000000000001E-3</v>
          </cell>
        </row>
        <row r="391">
          <cell r="A391" t="str">
            <v>234/1</v>
          </cell>
          <cell r="B391" t="str">
            <v>Balde 20 Litros Con Ruedas Lila</v>
          </cell>
          <cell r="C391">
            <v>12122.044000000002</v>
          </cell>
          <cell r="D391">
            <v>6</v>
          </cell>
          <cell r="E391">
            <v>3.0000000000000001E-3</v>
          </cell>
        </row>
        <row r="392">
          <cell r="A392">
            <v>237</v>
          </cell>
          <cell r="B392" t="str">
            <v xml:space="preserve">Balde Oval 14 Litros                  </v>
          </cell>
          <cell r="C392">
            <v>6752.5479999999998</v>
          </cell>
          <cell r="D392">
            <v>6</v>
          </cell>
          <cell r="E392">
            <v>3.7364999999999998E-3</v>
          </cell>
        </row>
        <row r="393">
          <cell r="A393" t="str">
            <v>237/1</v>
          </cell>
          <cell r="B393" t="str">
            <v>Balde Oval 14 Litros Lila</v>
          </cell>
          <cell r="C393">
            <v>6752.5479999999998</v>
          </cell>
          <cell r="D393">
            <v>6</v>
          </cell>
          <cell r="E393">
            <v>3.7000000000000002E-3</v>
          </cell>
        </row>
        <row r="394">
          <cell r="A394">
            <v>238</v>
          </cell>
          <cell r="B394" t="str">
            <v xml:space="preserve">Porta Arts. Limpieza P/ Balde Oval 237 </v>
          </cell>
          <cell r="C394">
            <v>5532.2080000000005</v>
          </cell>
          <cell r="D394">
            <v>6</v>
          </cell>
          <cell r="E394">
            <v>2.7941669999999997E-3</v>
          </cell>
        </row>
        <row r="395">
          <cell r="A395" t="str">
            <v>238/1</v>
          </cell>
          <cell r="B395" t="str">
            <v xml:space="preserve">Porta Arts. Limpieza P/ Balde Oval 237 </v>
          </cell>
          <cell r="C395">
            <v>5532.2080000000005</v>
          </cell>
          <cell r="D395">
            <v>6</v>
          </cell>
          <cell r="E395">
            <v>2.8E-3</v>
          </cell>
        </row>
        <row r="396">
          <cell r="A396">
            <v>240</v>
          </cell>
          <cell r="B396" t="str">
            <v xml:space="preserve">Balde Chico 8,5 lts.  </v>
          </cell>
          <cell r="C396">
            <v>4637.2919999999995</v>
          </cell>
          <cell r="D396">
            <v>6</v>
          </cell>
          <cell r="E396">
            <v>1.86542E-3</v>
          </cell>
        </row>
        <row r="397">
          <cell r="A397" t="str">
            <v>240/1</v>
          </cell>
          <cell r="B397" t="str">
            <v>Balde Chico 8,5 lts.  Lila</v>
          </cell>
          <cell r="C397">
            <v>4637.2919999999995</v>
          </cell>
          <cell r="D397">
            <v>6</v>
          </cell>
          <cell r="E397">
            <v>1.86542E-3</v>
          </cell>
        </row>
        <row r="398">
          <cell r="A398">
            <v>245</v>
          </cell>
          <cell r="B398" t="str">
            <v>Balde Mediano 12 lts.</v>
          </cell>
          <cell r="C398">
            <v>6663.0564000000004</v>
          </cell>
          <cell r="D398">
            <v>6</v>
          </cell>
          <cell r="E398">
            <v>2.5451999999999996E-3</v>
          </cell>
        </row>
        <row r="399">
          <cell r="A399" t="str">
            <v>245/1</v>
          </cell>
          <cell r="B399" t="str">
            <v>Balde Mediano 12 lts. Lila</v>
          </cell>
          <cell r="C399">
            <v>6663.0564000000004</v>
          </cell>
          <cell r="D399">
            <v>6</v>
          </cell>
          <cell r="E399">
            <v>2.5451999999999996E-3</v>
          </cell>
        </row>
        <row r="400">
          <cell r="A400">
            <v>250</v>
          </cell>
          <cell r="B400" t="str">
            <v xml:space="preserve">Balde Grande 15 lts. </v>
          </cell>
          <cell r="C400">
            <v>8135.6</v>
          </cell>
          <cell r="D400">
            <v>6</v>
          </cell>
          <cell r="E400">
            <v>3.1507939999999997E-3</v>
          </cell>
        </row>
        <row r="401">
          <cell r="A401" t="str">
            <v>250/1</v>
          </cell>
          <cell r="B401" t="str">
            <v>Balde Grande 15 lts. Lila</v>
          </cell>
          <cell r="C401">
            <v>8135.6</v>
          </cell>
          <cell r="D401">
            <v>6</v>
          </cell>
          <cell r="E401">
            <v>3.1507939999999997E-3</v>
          </cell>
        </row>
        <row r="402">
          <cell r="A402">
            <v>260</v>
          </cell>
          <cell r="B402" t="str">
            <v>Canasto Para Ropa  32 Litros 65X42X24</v>
          </cell>
          <cell r="C402">
            <v>13667.807999999999</v>
          </cell>
          <cell r="D402">
            <v>6</v>
          </cell>
          <cell r="E402">
            <v>6.4458329999999998E-3</v>
          </cell>
        </row>
        <row r="403">
          <cell r="A403" t="str">
            <v>260/1</v>
          </cell>
          <cell r="B403" t="str">
            <v>Canasto Para Ropa  32 Litros Lila</v>
          </cell>
          <cell r="C403">
            <v>13667.807999999999</v>
          </cell>
          <cell r="D403">
            <v>6</v>
          </cell>
          <cell r="E403">
            <v>6.4458329999999998E-3</v>
          </cell>
        </row>
        <row r="404">
          <cell r="A404">
            <v>258</v>
          </cell>
          <cell r="B404" t="str">
            <v>Porta Jabón en Polvo 2 Kg.</v>
          </cell>
          <cell r="C404">
            <v>4108.4780000000001</v>
          </cell>
          <cell r="D404">
            <v>12</v>
          </cell>
          <cell r="E404">
            <v>3.4081669999999997E-3</v>
          </cell>
        </row>
        <row r="405">
          <cell r="A405">
            <v>267</v>
          </cell>
          <cell r="B405" t="str">
            <v xml:space="preserve">Porta Jabón en Polvo 1 Kg. Con Dosificador  </v>
          </cell>
          <cell r="C405">
            <v>3905.0880000000002</v>
          </cell>
          <cell r="D405">
            <v>12</v>
          </cell>
          <cell r="E405">
            <v>3.4081669999999997E-3</v>
          </cell>
        </row>
        <row r="406">
          <cell r="A406">
            <v>268</v>
          </cell>
          <cell r="B406" t="str">
            <v xml:space="preserve">Porta Jabón en Polvo 1 Kg.  </v>
          </cell>
          <cell r="C406">
            <v>3254</v>
          </cell>
          <cell r="D406">
            <v>12</v>
          </cell>
          <cell r="E406">
            <v>2.9252499999999999E-3</v>
          </cell>
        </row>
        <row r="407">
          <cell r="A407" t="str">
            <v>641/70</v>
          </cell>
          <cell r="B407" t="str">
            <v>Tazón Para Gatos 200ml Azul</v>
          </cell>
          <cell r="C407">
            <v>2522.0360000000005</v>
          </cell>
          <cell r="D407">
            <v>12</v>
          </cell>
          <cell r="E407">
            <v>5.5128800000000004E-4</v>
          </cell>
        </row>
        <row r="408">
          <cell r="A408" t="str">
            <v>641/71</v>
          </cell>
          <cell r="B408" t="str">
            <v>Tazón Para Gatos 200ml Rosa</v>
          </cell>
          <cell r="C408">
            <v>2522.0360000000005</v>
          </cell>
          <cell r="D408">
            <v>12</v>
          </cell>
          <cell r="E408">
            <v>5.5128800000000004E-4</v>
          </cell>
        </row>
        <row r="409">
          <cell r="A409" t="str">
            <v>642/70</v>
          </cell>
          <cell r="B409" t="str">
            <v>Tazón Para Perros 300ml Azul</v>
          </cell>
          <cell r="C409">
            <v>2522.0360000000005</v>
          </cell>
          <cell r="D409">
            <v>12</v>
          </cell>
          <cell r="E409">
            <v>6.2616700000000006E-4</v>
          </cell>
        </row>
        <row r="410">
          <cell r="A410" t="str">
            <v>642/71</v>
          </cell>
          <cell r="B410" t="str">
            <v>Tazón Para Perros 300ml Rosa</v>
          </cell>
          <cell r="C410">
            <v>2522.0360000000005</v>
          </cell>
          <cell r="D410">
            <v>12</v>
          </cell>
          <cell r="E410">
            <v>6.2616700000000006E-4</v>
          </cell>
        </row>
        <row r="411">
          <cell r="A411" t="str">
            <v>643/70</v>
          </cell>
          <cell r="B411" t="str">
            <v>Tazón Para Perros 650ml Azul</v>
          </cell>
          <cell r="C411">
            <v>2920.6804000000002</v>
          </cell>
          <cell r="D411">
            <v>12</v>
          </cell>
          <cell r="E411">
            <v>1.0158750000000001E-3</v>
          </cell>
        </row>
        <row r="412">
          <cell r="A412" t="str">
            <v>643/71</v>
          </cell>
          <cell r="B412" t="str">
            <v>Tazón Para Perros 650ml Rosa</v>
          </cell>
          <cell r="C412">
            <v>2920.6804000000002</v>
          </cell>
          <cell r="D412">
            <v>12</v>
          </cell>
          <cell r="E412">
            <v>1.0158750000000001E-3</v>
          </cell>
        </row>
        <row r="413">
          <cell r="A413" t="str">
            <v>644/70</v>
          </cell>
          <cell r="B413" t="str">
            <v>Tazón Para Perros 1,8lts. Azul</v>
          </cell>
          <cell r="C413">
            <v>6874.5820000000003</v>
          </cell>
          <cell r="D413">
            <v>6</v>
          </cell>
          <cell r="E413">
            <v>1.8186669999999999E-3</v>
          </cell>
        </row>
        <row r="414">
          <cell r="A414" t="str">
            <v>644/71</v>
          </cell>
          <cell r="B414" t="str">
            <v>Tazón Para Perros 1,8lts. Rosa</v>
          </cell>
          <cell r="C414">
            <v>6874.5820000000003</v>
          </cell>
          <cell r="D414">
            <v>6</v>
          </cell>
          <cell r="E414">
            <v>1.8186669999999999E-3</v>
          </cell>
        </row>
        <row r="415">
          <cell r="A415" t="str">
            <v>651/70</v>
          </cell>
          <cell r="B415" t="str">
            <v>Bebedero Automático Para Perros 250ml Azul</v>
          </cell>
          <cell r="C415">
            <v>3034.5787999999998</v>
          </cell>
          <cell r="D415">
            <v>12</v>
          </cell>
          <cell r="E415">
            <v>2.0014999999999998E-3</v>
          </cell>
        </row>
        <row r="416">
          <cell r="A416" t="str">
            <v>651/71</v>
          </cell>
          <cell r="B416" t="str">
            <v>Bebedero Automático Para Perros 250ml Rosa</v>
          </cell>
          <cell r="C416">
            <v>3034.5787999999998</v>
          </cell>
          <cell r="D416">
            <v>12</v>
          </cell>
          <cell r="E416">
            <v>2.0014999999999998E-3</v>
          </cell>
        </row>
        <row r="417">
          <cell r="A417" t="str">
            <v>652/70</v>
          </cell>
          <cell r="B417" t="str">
            <v>Bebedero Automático Para Gato 250ml Azul</v>
          </cell>
          <cell r="C417">
            <v>3034.5787999999998</v>
          </cell>
          <cell r="D417">
            <v>12</v>
          </cell>
          <cell r="E417">
            <v>1.1860689999999999E-3</v>
          </cell>
        </row>
        <row r="418">
          <cell r="A418" t="str">
            <v>652/71</v>
          </cell>
          <cell r="B418" t="str">
            <v>Bebedero Automático Para Gato 250ml Rosa</v>
          </cell>
          <cell r="C418">
            <v>3034.5787999999998</v>
          </cell>
          <cell r="D418">
            <v>12</v>
          </cell>
          <cell r="E418">
            <v>1.1860689999999999E-3</v>
          </cell>
        </row>
        <row r="419">
          <cell r="A419" t="str">
            <v>653/70</v>
          </cell>
          <cell r="B419" t="str">
            <v>Bebedero Portátil Azul</v>
          </cell>
          <cell r="C419">
            <v>5491.5300000000007</v>
          </cell>
          <cell r="D419">
            <v>12</v>
          </cell>
          <cell r="E419">
            <v>1.179105E-3</v>
          </cell>
        </row>
        <row r="420">
          <cell r="A420" t="str">
            <v>653/71</v>
          </cell>
          <cell r="B420" t="str">
            <v>Bebedero Portátil Rosa</v>
          </cell>
          <cell r="C420">
            <v>5491.5300000000007</v>
          </cell>
          <cell r="D420">
            <v>12</v>
          </cell>
          <cell r="E420">
            <v>1.179105E-3</v>
          </cell>
        </row>
        <row r="421">
          <cell r="A421" t="str">
            <v>658/70</v>
          </cell>
          <cell r="B421" t="str">
            <v>Manteles Individuales Para Perros y Gatos de 54X31X1,5cm Azul</v>
          </cell>
          <cell r="C421">
            <v>6305.09</v>
          </cell>
          <cell r="D421">
            <v>12</v>
          </cell>
          <cell r="E421">
            <v>7.04862E-4</v>
          </cell>
        </row>
        <row r="422">
          <cell r="A422" t="str">
            <v>658/71</v>
          </cell>
          <cell r="B422" t="str">
            <v>Manteles Individuales Para Perros y Gatos de 54X31X1,5cm Rosa</v>
          </cell>
          <cell r="C422">
            <v>6305.09</v>
          </cell>
          <cell r="D422">
            <v>12</v>
          </cell>
          <cell r="E422">
            <v>7.04862E-4</v>
          </cell>
        </row>
        <row r="423">
          <cell r="A423" t="str">
            <v>659/70</v>
          </cell>
          <cell r="B423" t="str">
            <v>Porta Bolsa Azul</v>
          </cell>
          <cell r="C423">
            <v>3172.884</v>
          </cell>
          <cell r="D423">
            <v>24</v>
          </cell>
          <cell r="E423">
            <v>4.0000000000000002E-4</v>
          </cell>
        </row>
        <row r="424">
          <cell r="A424" t="str">
            <v>659/71</v>
          </cell>
          <cell r="B424" t="str">
            <v>Porta Bolsa Rosa</v>
          </cell>
          <cell r="C424">
            <v>3172.884</v>
          </cell>
          <cell r="D424">
            <v>24</v>
          </cell>
          <cell r="E424">
            <v>4.0000000000000002E-4</v>
          </cell>
        </row>
        <row r="425">
          <cell r="A425" t="str">
            <v>640/70</v>
          </cell>
          <cell r="B425" t="str">
            <v>Juego Para Alimentos y Snacks Azul</v>
          </cell>
          <cell r="C425">
            <v>5605.4283999999998</v>
          </cell>
          <cell r="D425">
            <v>12</v>
          </cell>
          <cell r="E425">
            <v>9.5549999999999997E-4</v>
          </cell>
        </row>
        <row r="426">
          <cell r="A426" t="str">
            <v>640/71</v>
          </cell>
          <cell r="B426" t="str">
            <v>Juego Para Alimentos y Snacks Rosa</v>
          </cell>
          <cell r="C426">
            <v>5605.4283999999998</v>
          </cell>
          <cell r="D426">
            <v>12</v>
          </cell>
          <cell r="E426">
            <v>9.5549999999999997E-4</v>
          </cell>
        </row>
        <row r="427">
          <cell r="A427" t="str">
            <v>661/70</v>
          </cell>
          <cell r="B427" t="str">
            <v>Caja de Arena Para Gato de 53X35X16 Azul</v>
          </cell>
          <cell r="C427">
            <v>12122.044000000002</v>
          </cell>
          <cell r="D427">
            <v>6</v>
          </cell>
          <cell r="E427">
            <v>7.9447500000000004E-3</v>
          </cell>
        </row>
        <row r="428">
          <cell r="A428" t="str">
            <v>661/71</v>
          </cell>
          <cell r="B428" t="str">
            <v>Caja de Arena Para Gato de 53X35X16 Rosa</v>
          </cell>
          <cell r="C428">
            <v>12122.044000000002</v>
          </cell>
          <cell r="D428">
            <v>6</v>
          </cell>
          <cell r="E428">
            <v>7.9447500000000004E-3</v>
          </cell>
        </row>
        <row r="429">
          <cell r="A429" t="str">
            <v>662/70</v>
          </cell>
          <cell r="B429" t="str">
            <v>Pala Para Caja de Arena de Gato Azul</v>
          </cell>
          <cell r="C429">
            <v>2107.1204000000002</v>
          </cell>
          <cell r="D429">
            <v>12</v>
          </cell>
          <cell r="E429">
            <v>2.5999999999999998E-4</v>
          </cell>
        </row>
        <row r="430">
          <cell r="A430" t="str">
            <v>662/71</v>
          </cell>
          <cell r="B430" t="str">
            <v>Pala Para Caja de Arena de Gato Rosa</v>
          </cell>
          <cell r="C430">
            <v>2107.1204000000002</v>
          </cell>
          <cell r="D430">
            <v>12</v>
          </cell>
          <cell r="E430">
            <v>2.5999999999999998E-4</v>
          </cell>
        </row>
        <row r="431">
          <cell r="A431">
            <v>664</v>
          </cell>
          <cell r="B431" t="str">
            <v>Alfombra Higiénica 34X43cm.</v>
          </cell>
          <cell r="C431">
            <v>8135.6</v>
          </cell>
          <cell r="D431">
            <v>24</v>
          </cell>
          <cell r="E431">
            <v>0</v>
          </cell>
        </row>
        <row r="432">
          <cell r="A432">
            <v>665</v>
          </cell>
          <cell r="B432" t="str">
            <v>Alfombra Higiénica 60X80cm.</v>
          </cell>
          <cell r="C432">
            <v>12935.604000000001</v>
          </cell>
          <cell r="D432">
            <v>16</v>
          </cell>
          <cell r="E432">
            <v>8.0000000000000004E-4</v>
          </cell>
        </row>
        <row r="433">
          <cell r="A433">
            <v>667</v>
          </cell>
          <cell r="B433" t="str">
            <v>Quita Pelusas</v>
          </cell>
          <cell r="C433">
            <v>3416.9519999999998</v>
          </cell>
          <cell r="D433">
            <v>12</v>
          </cell>
          <cell r="E433">
            <v>8.0000000000000004E-4</v>
          </cell>
        </row>
        <row r="434">
          <cell r="A434">
            <v>668</v>
          </cell>
          <cell r="B434" t="str">
            <v>Repuesto Quita Pelusas</v>
          </cell>
          <cell r="C434">
            <v>3416.9519999999998</v>
          </cell>
          <cell r="D434">
            <v>12</v>
          </cell>
          <cell r="E434">
            <v>5.66717E-4</v>
          </cell>
        </row>
        <row r="435">
          <cell r="A435" t="str">
            <v>342/70</v>
          </cell>
          <cell r="B435" t="str">
            <v>Caja de Arena Para Gato  6,4L Azul</v>
          </cell>
          <cell r="C435">
            <v>5532.2080000000005</v>
          </cell>
          <cell r="D435">
            <v>6</v>
          </cell>
          <cell r="E435">
            <v>1.0874999999999999E-3</v>
          </cell>
        </row>
        <row r="436">
          <cell r="A436" t="str">
            <v>342/71</v>
          </cell>
          <cell r="B436" t="str">
            <v>Caja de Arena Para Gato  6,4L Rosa</v>
          </cell>
          <cell r="C436">
            <v>5532.2080000000005</v>
          </cell>
          <cell r="D436">
            <v>6</v>
          </cell>
          <cell r="E436">
            <v>1.0874999999999999E-3</v>
          </cell>
        </row>
        <row r="437">
          <cell r="A437" t="str">
            <v>807/70</v>
          </cell>
          <cell r="B437" t="str">
            <v>Medidor de Alimentación Para Mascotas Azul</v>
          </cell>
          <cell r="C437">
            <v>2522.0360000000005</v>
          </cell>
          <cell r="D437">
            <v>24</v>
          </cell>
          <cell r="E437">
            <v>3.1225599999999996E-4</v>
          </cell>
        </row>
        <row r="438">
          <cell r="A438" t="str">
            <v>807/71</v>
          </cell>
          <cell r="B438" t="str">
            <v>Medidor de Alimentación Para Mascotas Rosa</v>
          </cell>
          <cell r="C438">
            <v>2522.0360000000005</v>
          </cell>
          <cell r="D438">
            <v>24</v>
          </cell>
          <cell r="E438">
            <v>3.1225599999999996E-4</v>
          </cell>
        </row>
        <row r="439">
          <cell r="A439" t="str">
            <v>911/74</v>
          </cell>
          <cell r="B439" t="str">
            <v xml:space="preserve">Caja Organizadora 11 lts. Gatos    </v>
          </cell>
          <cell r="C439">
            <v>7216</v>
          </cell>
          <cell r="D439">
            <v>12</v>
          </cell>
          <cell r="E439">
            <v>5.0000000000000001E-3</v>
          </cell>
        </row>
        <row r="440">
          <cell r="A440" t="str">
            <v>911/75</v>
          </cell>
          <cell r="B440" t="str">
            <v xml:space="preserve"> Caja Organizador 11 lts. Perros</v>
          </cell>
          <cell r="C440">
            <v>7216</v>
          </cell>
          <cell r="D440">
            <v>2</v>
          </cell>
          <cell r="E440">
            <v>5.0000000000000001E-3</v>
          </cell>
        </row>
        <row r="441">
          <cell r="A441" t="str">
            <v>971/74</v>
          </cell>
          <cell r="B441" t="str">
            <v xml:space="preserve">Caja Organizadora 68 lts. Gatos  </v>
          </cell>
          <cell r="C441">
            <v>25790</v>
          </cell>
          <cell r="D441">
            <v>12</v>
          </cell>
          <cell r="E441">
            <v>2.8299999999999999E-2</v>
          </cell>
        </row>
        <row r="442">
          <cell r="A442" t="str">
            <v>971/75</v>
          </cell>
          <cell r="B442" t="str">
            <v xml:space="preserve"> Caja Organizador 68 lts. Perros</v>
          </cell>
          <cell r="C442">
            <v>25790</v>
          </cell>
          <cell r="D442">
            <v>12</v>
          </cell>
          <cell r="E442">
            <v>2.8299999999999999E-2</v>
          </cell>
        </row>
        <row r="443">
          <cell r="A443">
            <v>12617</v>
          </cell>
          <cell r="B443" t="str">
            <v xml:space="preserve">Jarro 14cm.      </v>
          </cell>
          <cell r="C443">
            <v>28800.024000000001</v>
          </cell>
          <cell r="D443">
            <v>1</v>
          </cell>
          <cell r="E443" t="e">
            <v>#N/A</v>
          </cell>
        </row>
        <row r="444">
          <cell r="A444">
            <v>12619</v>
          </cell>
          <cell r="B444" t="str">
            <v>Cazo 14cm. Con Mango</v>
          </cell>
          <cell r="C444">
            <v>20013.576000000001</v>
          </cell>
          <cell r="D444">
            <v>1</v>
          </cell>
          <cell r="E444" t="e">
            <v>#N/A</v>
          </cell>
        </row>
        <row r="445">
          <cell r="A445">
            <v>12624</v>
          </cell>
          <cell r="B445" t="str">
            <v>Cacerola 16cm. Con Asas y Tapa</v>
          </cell>
          <cell r="C445">
            <v>34169.519999999997</v>
          </cell>
          <cell r="D445">
            <v>1</v>
          </cell>
          <cell r="E445" t="e">
            <v>#N/A</v>
          </cell>
        </row>
        <row r="446">
          <cell r="A446">
            <v>12625</v>
          </cell>
          <cell r="B446" t="str">
            <v>Cacerola 20cm. Con Asas y Tapa</v>
          </cell>
          <cell r="C446">
            <v>40678</v>
          </cell>
          <cell r="D446">
            <v>1</v>
          </cell>
          <cell r="E446" t="e">
            <v>#N/A</v>
          </cell>
        </row>
        <row r="447">
          <cell r="A447">
            <v>12626</v>
          </cell>
          <cell r="B447" t="str">
            <v>Cacerola 24cm. Con Asas y Tapa</v>
          </cell>
          <cell r="C447">
            <v>50221.058799999999</v>
          </cell>
          <cell r="D447">
            <v>1</v>
          </cell>
          <cell r="E447" t="e">
            <v>#N/A</v>
          </cell>
        </row>
        <row r="448">
          <cell r="A448">
            <v>12623</v>
          </cell>
          <cell r="B448" t="str">
            <v>Olla 24cm. Con Asas y Tapa</v>
          </cell>
          <cell r="C448">
            <v>57111.912000000004</v>
          </cell>
          <cell r="D448">
            <v>1</v>
          </cell>
          <cell r="E448" t="e">
            <v>#N/A</v>
          </cell>
        </row>
        <row r="449">
          <cell r="A449">
            <v>12818</v>
          </cell>
          <cell r="B449" t="str">
            <v>Sartenes 18cm.</v>
          </cell>
          <cell r="C449">
            <v>20696.966400000001</v>
          </cell>
          <cell r="D449">
            <v>1</v>
          </cell>
          <cell r="E449" t="e">
            <v>#N/A</v>
          </cell>
        </row>
        <row r="450">
          <cell r="A450">
            <v>12819</v>
          </cell>
          <cell r="B450" t="str">
            <v>Sartenes 20cm.</v>
          </cell>
          <cell r="C450">
            <v>22519.340800000002</v>
          </cell>
          <cell r="D450">
            <v>1</v>
          </cell>
          <cell r="E450" t="e">
            <v>#N/A</v>
          </cell>
        </row>
        <row r="451">
          <cell r="A451">
            <v>12820</v>
          </cell>
          <cell r="B451" t="str">
            <v>Sartenes 22cm.</v>
          </cell>
          <cell r="C451">
            <v>23397.985600000004</v>
          </cell>
          <cell r="D451">
            <v>1</v>
          </cell>
          <cell r="E451" t="e">
            <v>#N/A</v>
          </cell>
        </row>
        <row r="452">
          <cell r="A452">
            <v>12821</v>
          </cell>
          <cell r="B452" t="str">
            <v>Sartenes 24cm.</v>
          </cell>
          <cell r="C452">
            <v>26936.971600000001</v>
          </cell>
          <cell r="D452">
            <v>1</v>
          </cell>
          <cell r="E452" t="e">
            <v>#N/A</v>
          </cell>
        </row>
        <row r="453">
          <cell r="A453">
            <v>12822</v>
          </cell>
          <cell r="B453" t="str">
            <v xml:space="preserve">Sartenes 26cm. </v>
          </cell>
          <cell r="C453">
            <v>30557.313599999998</v>
          </cell>
          <cell r="D453">
            <v>1</v>
          </cell>
          <cell r="E453" t="e">
            <v>#N/A</v>
          </cell>
        </row>
        <row r="454">
          <cell r="A454">
            <v>12823</v>
          </cell>
          <cell r="B454" t="str">
            <v xml:space="preserve">Sartenes 28cm. </v>
          </cell>
          <cell r="C454">
            <v>33762.74</v>
          </cell>
          <cell r="D454">
            <v>1</v>
          </cell>
          <cell r="E454" t="e">
            <v>#N/A</v>
          </cell>
        </row>
        <row r="455">
          <cell r="A455">
            <v>12824</v>
          </cell>
          <cell r="B455" t="str">
            <v>Sartén Doble 24cm</v>
          </cell>
          <cell r="C455">
            <v>61041.406799999997</v>
          </cell>
          <cell r="D455">
            <v>1</v>
          </cell>
          <cell r="E455" t="e">
            <v>#N/A</v>
          </cell>
        </row>
        <row r="456">
          <cell r="A456">
            <v>12620</v>
          </cell>
          <cell r="B456" t="str">
            <v>Wok 28cm  c/Tapa de Vidrio</v>
          </cell>
          <cell r="C456">
            <v>69250.227199999994</v>
          </cell>
          <cell r="D456">
            <v>1</v>
          </cell>
          <cell r="E456" t="e">
            <v>#N/A</v>
          </cell>
        </row>
        <row r="457">
          <cell r="A457">
            <v>2156</v>
          </cell>
          <cell r="B457" t="str">
            <v>Sartén 20cm J. Sanchez</v>
          </cell>
          <cell r="C457">
            <v>29950</v>
          </cell>
          <cell r="D457">
            <v>1</v>
          </cell>
          <cell r="E457" t="e">
            <v>#N/A</v>
          </cell>
        </row>
        <row r="458">
          <cell r="A458">
            <v>2157</v>
          </cell>
          <cell r="B458" t="str">
            <v>Sartén 24cm  J. Sanchez</v>
          </cell>
          <cell r="C458">
            <v>34950</v>
          </cell>
          <cell r="D458">
            <v>1</v>
          </cell>
          <cell r="E458" t="e">
            <v>#N/A</v>
          </cell>
        </row>
        <row r="459">
          <cell r="A459">
            <v>2158</v>
          </cell>
          <cell r="B459" t="str">
            <v>Sartén 28cm  J. Sanchez</v>
          </cell>
          <cell r="C459">
            <v>39950</v>
          </cell>
          <cell r="D459">
            <v>1</v>
          </cell>
          <cell r="E459" t="e">
            <v>#N/A</v>
          </cell>
        </row>
        <row r="460">
          <cell r="A460">
            <v>2159</v>
          </cell>
          <cell r="B460" t="str">
            <v>Olla 20cm  J. Sanchez</v>
          </cell>
          <cell r="C460">
            <v>62390</v>
          </cell>
          <cell r="D460">
            <v>1</v>
          </cell>
          <cell r="E460" t="e">
            <v>#N/A</v>
          </cell>
        </row>
        <row r="461">
          <cell r="A461">
            <v>2160</v>
          </cell>
          <cell r="B461" t="str">
            <v>Cacerola 24cm  J. Sanchez</v>
          </cell>
          <cell r="C461">
            <v>67990</v>
          </cell>
          <cell r="D461">
            <v>1</v>
          </cell>
          <cell r="E461" t="e">
            <v>#N/A</v>
          </cell>
        </row>
        <row r="462">
          <cell r="A462">
            <v>2161</v>
          </cell>
          <cell r="B462" t="str">
            <v>Cazo 16cm  J. Sanchez</v>
          </cell>
          <cell r="C462">
            <v>32490</v>
          </cell>
          <cell r="D462">
            <v>1</v>
          </cell>
          <cell r="E462" t="e">
            <v>#N/A</v>
          </cell>
        </row>
        <row r="463">
          <cell r="A463">
            <v>2162</v>
          </cell>
          <cell r="B463" t="str">
            <v>Set de 3 Cuchillos (Chef, Multiuso y Pelador)</v>
          </cell>
          <cell r="C463">
            <v>36490</v>
          </cell>
          <cell r="D463">
            <v>1</v>
          </cell>
          <cell r="E463" t="e">
            <v>#N/A</v>
          </cell>
        </row>
        <row r="464">
          <cell r="A464">
            <v>12520</v>
          </cell>
          <cell r="B464" t="str">
            <v>Sartén Mamba 20</v>
          </cell>
          <cell r="C464">
            <v>23650</v>
          </cell>
          <cell r="D464">
            <v>1</v>
          </cell>
          <cell r="E464" t="e">
            <v>#N/A</v>
          </cell>
        </row>
        <row r="465">
          <cell r="A465">
            <v>12521</v>
          </cell>
          <cell r="B465" t="str">
            <v>Sartén Mamba 24</v>
          </cell>
          <cell r="C465">
            <v>29450</v>
          </cell>
          <cell r="D465">
            <v>1</v>
          </cell>
          <cell r="E465" t="e">
            <v>#N/A</v>
          </cell>
        </row>
        <row r="466">
          <cell r="A466">
            <v>12522</v>
          </cell>
          <cell r="B466" t="str">
            <v>Sartén Mamba 26</v>
          </cell>
          <cell r="C466">
            <v>32150</v>
          </cell>
          <cell r="D466">
            <v>1</v>
          </cell>
          <cell r="E466" t="e">
            <v>#N/A</v>
          </cell>
        </row>
        <row r="467">
          <cell r="A467">
            <v>12523</v>
          </cell>
          <cell r="B467" t="str">
            <v>Sartén Mamba 28</v>
          </cell>
          <cell r="C467">
            <v>34650</v>
          </cell>
          <cell r="D467">
            <v>1</v>
          </cell>
          <cell r="E467" t="e">
            <v>#N/A</v>
          </cell>
        </row>
        <row r="468">
          <cell r="A468">
            <v>12513</v>
          </cell>
          <cell r="B468" t="str">
            <v>Bifera Cerisse Pierre</v>
          </cell>
          <cell r="C468">
            <v>37586.472000000002</v>
          </cell>
          <cell r="D468">
            <v>1</v>
          </cell>
          <cell r="E468" t="e">
            <v>#N/A</v>
          </cell>
        </row>
        <row r="469">
          <cell r="A469">
            <v>12514</v>
          </cell>
          <cell r="B469" t="str">
            <v>Lasagnera 35cm. Cerisse Pierre</v>
          </cell>
          <cell r="C469">
            <v>38725.456000000006</v>
          </cell>
          <cell r="D469">
            <v>1</v>
          </cell>
          <cell r="E469" t="e">
            <v>#N/A</v>
          </cell>
        </row>
        <row r="470">
          <cell r="A470">
            <v>12515</v>
          </cell>
          <cell r="B470" t="str">
            <v>Crepier 28cm. Cerisse Pierre</v>
          </cell>
          <cell r="C470">
            <v>29613.584000000003</v>
          </cell>
          <cell r="D470">
            <v>1</v>
          </cell>
          <cell r="E470" t="e">
            <v>#N/A</v>
          </cell>
        </row>
        <row r="471">
          <cell r="A471">
            <v>12310</v>
          </cell>
          <cell r="B471" t="str">
            <v>Guisera 26cm. Con Tapa de Vidrio</v>
          </cell>
          <cell r="C471">
            <v>46698.343999999997</v>
          </cell>
          <cell r="D471">
            <v>1</v>
          </cell>
          <cell r="E471" t="e">
            <v>#N/A</v>
          </cell>
        </row>
        <row r="472">
          <cell r="A472">
            <v>12516</v>
          </cell>
          <cell r="B472" t="str">
            <v>Pizza Pan Cerisse Pierre</v>
          </cell>
          <cell r="C472">
            <v>27335.615999999998</v>
          </cell>
          <cell r="D472">
            <v>1</v>
          </cell>
          <cell r="E472" t="e">
            <v>#N/A</v>
          </cell>
        </row>
        <row r="473">
          <cell r="A473">
            <v>11691</v>
          </cell>
          <cell r="B473" t="str">
            <v>Dutch Oven Granate</v>
          </cell>
          <cell r="C473">
            <v>103647.54399999999</v>
          </cell>
          <cell r="D473">
            <v>1</v>
          </cell>
          <cell r="E473" t="e">
            <v>#N/A</v>
          </cell>
        </row>
        <row r="474">
          <cell r="A474">
            <v>11692</v>
          </cell>
          <cell r="B474" t="str">
            <v>Dutch Oven Negro</v>
          </cell>
          <cell r="C474">
            <v>103647.54399999999</v>
          </cell>
          <cell r="D474">
            <v>1</v>
          </cell>
          <cell r="E474" t="e">
            <v>#N/A</v>
          </cell>
        </row>
        <row r="475">
          <cell r="A475">
            <v>4004</v>
          </cell>
          <cell r="B475" t="str">
            <v>Asadera Cuadrada 20X17X6 (1 Litro) Borosilicato Con Antiadherente</v>
          </cell>
          <cell r="C475">
            <v>23918.664000000004</v>
          </cell>
          <cell r="D475">
            <v>1</v>
          </cell>
          <cell r="E475" t="e">
            <v>#N/A</v>
          </cell>
        </row>
        <row r="476">
          <cell r="A476">
            <v>4005</v>
          </cell>
          <cell r="B476" t="str">
            <v>Asadera Rectangular 35X22X5 (2,6lts) Borosilicato Con Antiadherente</v>
          </cell>
          <cell r="C476">
            <v>34739.012000000002</v>
          </cell>
          <cell r="D476">
            <v>1</v>
          </cell>
          <cell r="E476" t="e">
            <v>#N/A</v>
          </cell>
        </row>
        <row r="477">
          <cell r="A477">
            <v>4006</v>
          </cell>
          <cell r="B477" t="str">
            <v>Asadera Oval 35X24X6 (3lts.) Borosilicato Con Antiadherente</v>
          </cell>
          <cell r="C477">
            <v>35308.504000000001</v>
          </cell>
          <cell r="D477">
            <v>1</v>
          </cell>
          <cell r="E477" t="e">
            <v>#N/A</v>
          </cell>
        </row>
        <row r="478">
          <cell r="A478">
            <v>4007</v>
          </cell>
          <cell r="B478" t="str">
            <v>Asadera Redonda 27cm. (1,3lts.) Borosilicato Con Antiadherente</v>
          </cell>
          <cell r="C478">
            <v>26196.632000000001</v>
          </cell>
          <cell r="D478">
            <v>1</v>
          </cell>
          <cell r="E478" t="e">
            <v>#N/A</v>
          </cell>
        </row>
        <row r="479">
          <cell r="A479" t="str">
            <v>356/3</v>
          </cell>
          <cell r="B479" t="str">
            <v>Cubiertero mediano sin tapa 34x23x5cm gris</v>
          </cell>
          <cell r="C479">
            <v>3661</v>
          </cell>
          <cell r="D479">
            <v>1</v>
          </cell>
          <cell r="E479" t="e">
            <v>#N/A</v>
          </cell>
        </row>
        <row r="480">
          <cell r="A480">
            <v>11106</v>
          </cell>
          <cell r="B480" t="str">
            <v xml:space="preserve">Olla a Presión Diana 4 Litros Acero </v>
          </cell>
          <cell r="C480">
            <v>146150</v>
          </cell>
          <cell r="D480">
            <v>1</v>
          </cell>
          <cell r="E480" t="e">
            <v>#N/A</v>
          </cell>
        </row>
        <row r="481">
          <cell r="A481">
            <v>11107</v>
          </cell>
          <cell r="B481" t="str">
            <v xml:space="preserve">Olla a Presión Diana 6 Litros Acero </v>
          </cell>
          <cell r="C481">
            <v>185150</v>
          </cell>
          <cell r="D481">
            <v>1</v>
          </cell>
          <cell r="E481" t="e">
            <v>#N/A</v>
          </cell>
        </row>
        <row r="482">
          <cell r="A482">
            <v>11108</v>
          </cell>
          <cell r="B482" t="str">
            <v xml:space="preserve">Olla a Presión Diana 8 Litros Acero </v>
          </cell>
          <cell r="C482">
            <v>192150</v>
          </cell>
          <cell r="D482">
            <v>1</v>
          </cell>
          <cell r="E482" t="e">
            <v>#N/A</v>
          </cell>
        </row>
        <row r="483">
          <cell r="A483">
            <v>11109</v>
          </cell>
          <cell r="B483" t="str">
            <v>Olla a Presión Easyclick 6 Litros</v>
          </cell>
          <cell r="C483">
            <v>132000</v>
          </cell>
          <cell r="D483">
            <v>1</v>
          </cell>
          <cell r="E483" t="e">
            <v>#N/A</v>
          </cell>
        </row>
        <row r="484">
          <cell r="A484">
            <v>11110</v>
          </cell>
          <cell r="B484" t="str">
            <v>Olla a Presión Easyclick 8 Litros</v>
          </cell>
          <cell r="C484">
            <v>143400</v>
          </cell>
          <cell r="D484">
            <v>1</v>
          </cell>
          <cell r="E484" t="e">
            <v>#N/A</v>
          </cell>
        </row>
        <row r="485">
          <cell r="A485">
            <v>11111</v>
          </cell>
          <cell r="B485" t="str">
            <v>Dúo Olla a Presión Easyclick 4+6 Litros</v>
          </cell>
          <cell r="C485">
            <v>191300</v>
          </cell>
          <cell r="D485">
            <v>1</v>
          </cell>
          <cell r="E485" t="e">
            <v>#N/A</v>
          </cell>
        </row>
        <row r="486">
          <cell r="A486">
            <v>11112</v>
          </cell>
          <cell r="B486" t="str">
            <v>Olla a Presión Aluminio Avant 6 Litros Negra</v>
          </cell>
          <cell r="C486">
            <v>81000</v>
          </cell>
          <cell r="D486">
            <v>1</v>
          </cell>
          <cell r="E486" t="e">
            <v>#N/A</v>
          </cell>
        </row>
        <row r="487">
          <cell r="A487">
            <v>11113</v>
          </cell>
          <cell r="B487" t="str">
            <v>Olla a Presión Aluminio Avant 6 Litros Roja</v>
          </cell>
          <cell r="C487">
            <v>81000</v>
          </cell>
          <cell r="D487"/>
          <cell r="E487" t="e">
            <v>#N/A</v>
          </cell>
        </row>
        <row r="488">
          <cell r="A488">
            <v>12106</v>
          </cell>
          <cell r="B488" t="str">
            <v>Batería Deliss 7 Piezas (Ollas 18 y 24, Cac.16 y Sartén 24)</v>
          </cell>
          <cell r="C488">
            <v>169900</v>
          </cell>
          <cell r="D488">
            <v>1</v>
          </cell>
          <cell r="E488" t="e">
            <v>#N/A</v>
          </cell>
        </row>
        <row r="489">
          <cell r="A489">
            <v>12128</v>
          </cell>
          <cell r="B489" t="str">
            <v>Olla Alta Royal de Acero Inoxidable 20cm. 5,0 lts.</v>
          </cell>
          <cell r="C489">
            <v>68827.176000000007</v>
          </cell>
          <cell r="D489">
            <v>1</v>
          </cell>
          <cell r="E489" t="e">
            <v>#N/A</v>
          </cell>
        </row>
        <row r="490">
          <cell r="A490" t="str">
            <v>CORD12</v>
          </cell>
          <cell r="B490" t="str">
            <v>Juego de Cubiertos Córdoba 12 Piezas</v>
          </cell>
          <cell r="C490">
            <v>54345.808000000005</v>
          </cell>
          <cell r="D490">
            <v>1</v>
          </cell>
          <cell r="E490" t="e">
            <v>#N/A</v>
          </cell>
        </row>
        <row r="491">
          <cell r="A491">
            <v>12105</v>
          </cell>
          <cell r="B491" t="str">
            <v>Batería Vesta 10 Piezas</v>
          </cell>
          <cell r="C491">
            <v>249900</v>
          </cell>
          <cell r="D491">
            <v>1</v>
          </cell>
        </row>
        <row r="492">
          <cell r="A492">
            <v>12109</v>
          </cell>
          <cell r="B492" t="str">
            <v>Batería Coral Rojo 7 Piezas</v>
          </cell>
          <cell r="C492">
            <v>199900</v>
          </cell>
          <cell r="D492">
            <v>1</v>
          </cell>
        </row>
        <row r="493">
          <cell r="A493">
            <v>12102</v>
          </cell>
          <cell r="B493" t="str">
            <v>Batería Style 4 Piezas - Para Inducción</v>
          </cell>
          <cell r="C493">
            <v>98900</v>
          </cell>
          <cell r="D493">
            <v>1</v>
          </cell>
        </row>
        <row r="494">
          <cell r="A494">
            <v>12103</v>
          </cell>
          <cell r="B494" t="str">
            <v>Batería Ecotherm 12 Piezas - Especial Dietética Con Termómetro</v>
          </cell>
          <cell r="C494">
            <v>539900</v>
          </cell>
          <cell r="D494">
            <v>1</v>
          </cell>
        </row>
        <row r="495">
          <cell r="A495" t="str">
            <v>GRA24</v>
          </cell>
          <cell r="B495" t="str">
            <v>Juego de Cubiertos Malta 24 Piezas</v>
          </cell>
          <cell r="C495">
            <v>76900</v>
          </cell>
          <cell r="D495">
            <v>1</v>
          </cell>
        </row>
        <row r="496">
          <cell r="A496" t="str">
            <v>BIL113</v>
          </cell>
          <cell r="B496" t="str">
            <v>Juego de Cubiertos Malta Bilbao 113 Piezas</v>
          </cell>
          <cell r="C496">
            <v>1089000</v>
          </cell>
          <cell r="D496">
            <v>1</v>
          </cell>
          <cell r="E496" t="e">
            <v>#N/A</v>
          </cell>
        </row>
        <row r="497">
          <cell r="A497">
            <v>62022</v>
          </cell>
          <cell r="B497" t="str">
            <v>Olla Bombé Con Aro 22 (4,6 Litros, Altura 13cm)</v>
          </cell>
          <cell r="C497">
            <v>18223.743999999999</v>
          </cell>
          <cell r="D497">
            <v>12</v>
          </cell>
          <cell r="E497" t="e">
            <v>#N/A</v>
          </cell>
        </row>
        <row r="498">
          <cell r="A498">
            <v>62024</v>
          </cell>
          <cell r="B498" t="str">
            <v>Olla Bombé Con Aro 24 (6 Litros, Altura 15cm)</v>
          </cell>
          <cell r="C498">
            <v>20013.576000000001</v>
          </cell>
          <cell r="D498">
            <v>4</v>
          </cell>
          <cell r="E498" t="e">
            <v>#N/A</v>
          </cell>
        </row>
        <row r="499">
          <cell r="A499">
            <v>62026</v>
          </cell>
          <cell r="B499" t="str">
            <v>Olla Bombé Con Aro  26 (8 Litros, Altura 17cm)</v>
          </cell>
          <cell r="C499">
            <v>22535.612000000001</v>
          </cell>
          <cell r="D499">
            <v>4</v>
          </cell>
          <cell r="E499" t="e">
            <v>#N/A</v>
          </cell>
        </row>
        <row r="500">
          <cell r="A500"/>
          <cell r="B500" t="str">
            <v/>
          </cell>
          <cell r="C500"/>
          <cell r="D500"/>
          <cell r="E500" t="e">
            <v>#N/A</v>
          </cell>
        </row>
        <row r="501">
          <cell r="A501">
            <v>1001</v>
          </cell>
          <cell r="B501" t="str">
            <v>Soporte Papel Higiénico</v>
          </cell>
          <cell r="C501">
            <v>6985.9583640000001</v>
          </cell>
          <cell r="D501">
            <v>6</v>
          </cell>
          <cell r="E501" t="e">
            <v>#N/A</v>
          </cell>
        </row>
        <row r="502">
          <cell r="A502">
            <v>1002</v>
          </cell>
          <cell r="B502" t="str">
            <v>Jabonera de Apoyo</v>
          </cell>
          <cell r="C502">
            <v>2561.5180668000003</v>
          </cell>
          <cell r="D502">
            <v>6</v>
          </cell>
          <cell r="E502" t="e">
            <v>#N/A</v>
          </cell>
        </row>
        <row r="503">
          <cell r="A503">
            <v>1003</v>
          </cell>
          <cell r="B503" t="str">
            <v>Jabonera de Pared</v>
          </cell>
          <cell r="C503">
            <v>3609.4118213999991</v>
          </cell>
          <cell r="D503">
            <v>6</v>
          </cell>
          <cell r="E503" t="e">
            <v>#N/A</v>
          </cell>
        </row>
        <row r="504">
          <cell r="A504">
            <v>1004</v>
          </cell>
          <cell r="B504" t="str">
            <v>Soporte Para Toalla</v>
          </cell>
          <cell r="C504">
            <v>6985.9583640000001</v>
          </cell>
          <cell r="D504">
            <v>6</v>
          </cell>
          <cell r="E504" t="e">
            <v>#N/A</v>
          </cell>
        </row>
        <row r="505">
          <cell r="A505">
            <v>1007</v>
          </cell>
          <cell r="B505" t="str">
            <v>Porta Toalla Aro</v>
          </cell>
          <cell r="C505">
            <v>3958.7097395999995</v>
          </cell>
          <cell r="D505">
            <v>6</v>
          </cell>
          <cell r="E505" t="e">
            <v>#N/A</v>
          </cell>
        </row>
        <row r="506">
          <cell r="A506">
            <v>1008</v>
          </cell>
          <cell r="B506" t="str">
            <v>Gancho Fijo</v>
          </cell>
          <cell r="C506">
            <v>2910.8159849999993</v>
          </cell>
          <cell r="D506">
            <v>6</v>
          </cell>
          <cell r="E506" t="e">
            <v>#N/A</v>
          </cell>
        </row>
        <row r="507">
          <cell r="A507">
            <v>1009</v>
          </cell>
          <cell r="B507" t="str">
            <v>Porta Cepillo de Dientes Con Vaso</v>
          </cell>
          <cell r="C507">
            <v>7684.5542003999981</v>
          </cell>
          <cell r="D507">
            <v>6</v>
          </cell>
          <cell r="E507" t="e">
            <v>#N/A</v>
          </cell>
        </row>
        <row r="508">
          <cell r="A508">
            <v>1010</v>
          </cell>
          <cell r="B508" t="str">
            <v>Repisa 62X17X5,6cm.</v>
          </cell>
          <cell r="C508">
            <v>7568.121560999999</v>
          </cell>
          <cell r="D508">
            <v>3</v>
          </cell>
          <cell r="E508" t="e">
            <v>#N/A</v>
          </cell>
        </row>
        <row r="509">
          <cell r="A509" t="str">
            <v>1021-2</v>
          </cell>
          <cell r="B509" t="str">
            <v>Kit Para Baño 5 Piezas</v>
          </cell>
          <cell r="C509">
            <v>18163.491746399995</v>
          </cell>
          <cell r="D509">
            <v>6</v>
          </cell>
          <cell r="E509" t="e">
            <v>#N/A</v>
          </cell>
        </row>
        <row r="510">
          <cell r="A510" t="str">
            <v>1061-8</v>
          </cell>
          <cell r="B510" t="str">
            <v>Asiento Para Inodoros Negro</v>
          </cell>
          <cell r="C510">
            <v>12458.292415799999</v>
          </cell>
          <cell r="D510">
            <v>6</v>
          </cell>
          <cell r="E510" t="e">
            <v>#N/A</v>
          </cell>
        </row>
        <row r="511">
          <cell r="A511">
            <v>5005</v>
          </cell>
          <cell r="B511" t="str">
            <v>Soporte Para Toalla Articulado Bari</v>
          </cell>
          <cell r="C511">
            <v>8383.1500367999979</v>
          </cell>
          <cell r="D511">
            <v>6</v>
          </cell>
          <cell r="E511" t="e">
            <v>#N/A</v>
          </cell>
        </row>
        <row r="512">
          <cell r="A512">
            <v>5010</v>
          </cell>
          <cell r="B512" t="str">
            <v>Repisa 53X15X4cm. Bari</v>
          </cell>
          <cell r="C512">
            <v>6985.9583640000001</v>
          </cell>
          <cell r="D512">
            <v>3</v>
          </cell>
          <cell r="E512" t="e">
            <v>#N/A</v>
          </cell>
        </row>
        <row r="513">
          <cell r="A513">
            <v>1011</v>
          </cell>
          <cell r="B513" t="str">
            <v>Espejo Redondo Con Moldura 54cm.</v>
          </cell>
          <cell r="C513">
            <v>27943.833456</v>
          </cell>
          <cell r="D513">
            <v>3</v>
          </cell>
          <cell r="E513" t="e">
            <v>#N/A</v>
          </cell>
        </row>
        <row r="514">
          <cell r="A514">
            <v>5100</v>
          </cell>
          <cell r="B514" t="str">
            <v>Espejo Rectang. Con Moldura 54X45X3cm.</v>
          </cell>
          <cell r="C514">
            <v>27943.833456</v>
          </cell>
          <cell r="D514">
            <v>3</v>
          </cell>
          <cell r="E514" t="e">
            <v>#N/A</v>
          </cell>
        </row>
        <row r="515">
          <cell r="A515">
            <v>5110</v>
          </cell>
          <cell r="B515" t="str">
            <v>Espejo Oval Con Moldura 56X44,5X2cm.</v>
          </cell>
          <cell r="C515">
            <v>27943.833456</v>
          </cell>
          <cell r="D515">
            <v>3</v>
          </cell>
          <cell r="E515" t="e">
            <v>#N/A</v>
          </cell>
        </row>
        <row r="516">
          <cell r="A516">
            <v>1012</v>
          </cell>
          <cell r="B516" t="str">
            <v>Repisa de Rincón Con Esponja de Regalo</v>
          </cell>
          <cell r="C516">
            <v>8406.4365646799997</v>
          </cell>
          <cell r="D516">
            <v>8</v>
          </cell>
          <cell r="E516" t="e">
            <v>#N/A</v>
          </cell>
        </row>
        <row r="517">
          <cell r="A517">
            <v>5012</v>
          </cell>
          <cell r="B517" t="str">
            <v xml:space="preserve">Repisa de Rincón Oval Con Esponja </v>
          </cell>
          <cell r="C517">
            <v>6753.0930851999983</v>
          </cell>
          <cell r="D517">
            <v>8</v>
          </cell>
          <cell r="E517" t="e">
            <v>#N/A</v>
          </cell>
        </row>
        <row r="518">
          <cell r="A518" t="str">
            <v>501-1</v>
          </cell>
          <cell r="B518" t="str">
            <v>Colgador de Pared 3 Ganchos</v>
          </cell>
          <cell r="C518">
            <v>3725.8444608000004</v>
          </cell>
          <cell r="D518">
            <v>24</v>
          </cell>
          <cell r="E518" t="e">
            <v>#N/A</v>
          </cell>
        </row>
        <row r="519">
          <cell r="A519" t="str">
            <v>502-2</v>
          </cell>
          <cell r="B519" t="str">
            <v>Colgador de Pared 1 Gancho</v>
          </cell>
          <cell r="C519">
            <v>1979.3548697999997</v>
          </cell>
          <cell r="D519">
            <v>24</v>
          </cell>
          <cell r="E519" t="e">
            <v>#N/A</v>
          </cell>
        </row>
        <row r="520">
          <cell r="A520">
            <v>1081</v>
          </cell>
          <cell r="B520" t="str">
            <v>Alfombra de Goma Negra 120X50cm</v>
          </cell>
          <cell r="C520">
            <v>29108.15985</v>
          </cell>
          <cell r="D520">
            <v>3</v>
          </cell>
          <cell r="E520" t="e">
            <v>#N/A</v>
          </cell>
        </row>
        <row r="521">
          <cell r="A521">
            <v>2581</v>
          </cell>
          <cell r="B521" t="str">
            <v>Gancho c/Ventosa 0.5Kgs x 4 Unidades</v>
          </cell>
          <cell r="C521">
            <v>1909.4952861599995</v>
          </cell>
          <cell r="D521">
            <v>12</v>
          </cell>
          <cell r="E521" t="e">
            <v>#N/A</v>
          </cell>
        </row>
        <row r="522">
          <cell r="A522">
            <v>2582</v>
          </cell>
          <cell r="B522" t="str">
            <v>Gancho c/Ventosa 0.75Kgs x 2 Unidades</v>
          </cell>
          <cell r="C522">
            <v>1995.9881039999998</v>
          </cell>
          <cell r="D522">
            <v>12</v>
          </cell>
          <cell r="E522" t="e">
            <v>#N/A</v>
          </cell>
        </row>
        <row r="523">
          <cell r="A523"/>
          <cell r="B523" t="str">
            <v/>
          </cell>
          <cell r="C523"/>
          <cell r="D523"/>
          <cell r="E523" t="e">
            <v>#N/A</v>
          </cell>
        </row>
        <row r="524">
          <cell r="A524">
            <v>1631</v>
          </cell>
          <cell r="B524" t="str">
            <v>Escoba Recta Novica Max (Varremax) - Sin Cabo</v>
          </cell>
          <cell r="C524">
            <v>2280.4737647999996</v>
          </cell>
          <cell r="D524">
            <v>12</v>
          </cell>
          <cell r="E524" t="e">
            <v>#N/A</v>
          </cell>
        </row>
        <row r="525">
          <cell r="A525">
            <v>1671</v>
          </cell>
          <cell r="B525" t="str">
            <v>Escoba "Noviça" - Sin Cabo</v>
          </cell>
          <cell r="C525">
            <v>1718.3851607999998</v>
          </cell>
          <cell r="D525">
            <v>12</v>
          </cell>
          <cell r="E525" t="e">
            <v>#N/A</v>
          </cell>
        </row>
        <row r="526">
          <cell r="A526" t="str">
            <v>120E</v>
          </cell>
          <cell r="B526" t="str">
            <v>Pala y Escobilla Con Mango</v>
          </cell>
          <cell r="C526">
            <v>4129.6305599999996</v>
          </cell>
          <cell r="D526">
            <v>12</v>
          </cell>
          <cell r="E526" t="e">
            <v>#N/A</v>
          </cell>
        </row>
        <row r="527">
          <cell r="A527"/>
          <cell r="B527" t="str">
            <v/>
          </cell>
          <cell r="C527"/>
          <cell r="D527"/>
          <cell r="E527" t="e">
            <v>#N/A</v>
          </cell>
        </row>
        <row r="528">
          <cell r="A528">
            <v>250520</v>
          </cell>
          <cell r="B528" t="str">
            <v>Set 3 Herméticos Redondos Tapa Bambú                                                                                                            400ml /10,5X4,8cm
620ml /15X6,7cm
950ml /18X7cm</v>
          </cell>
          <cell r="C528">
            <v>21585</v>
          </cell>
          <cell r="D528">
            <v>12</v>
          </cell>
          <cell r="E528" t="e">
            <v>#N/A</v>
          </cell>
        </row>
        <row r="529">
          <cell r="A529">
            <v>250521</v>
          </cell>
          <cell r="B529" t="str">
            <v>Set 3 Herméticos Cuadrados Tapa Bambú                                                                                                            320ml /11X5cm
500ml /13X6cm
800ml /15X6cm</v>
          </cell>
          <cell r="C529">
            <v>20405</v>
          </cell>
          <cell r="D529">
            <v>12</v>
          </cell>
          <cell r="E529" t="e">
            <v>#N/A</v>
          </cell>
        </row>
        <row r="530">
          <cell r="A530">
            <v>250522</v>
          </cell>
          <cell r="B530" t="str">
            <v>Set 3 Herméticos Rectang.Tapa Bambú                                                                                                      370ml /14,5X10,4X5,5cm
640ml /16,95X12,35X6cm
1040ml /19,8X14,8X6,6cm</v>
          </cell>
          <cell r="C530">
            <v>22870</v>
          </cell>
          <cell r="D530">
            <v>12</v>
          </cell>
          <cell r="E530" t="e">
            <v>#N/A</v>
          </cell>
        </row>
        <row r="531">
          <cell r="A531">
            <v>250514</v>
          </cell>
          <cell r="B531" t="str">
            <v>Set 3 Fuentes Ovales de Vidrio Sin Tapa                                                                                                                                            0,7L / 20,7X13,7X4,7cm
1,6L / 25,8X17,9X6cm
2,4L / 30,3X21,3X6,5cm</v>
          </cell>
          <cell r="C531">
            <v>19790</v>
          </cell>
          <cell r="D531">
            <v>12</v>
          </cell>
          <cell r="E531" t="e">
            <v>#N/A</v>
          </cell>
        </row>
        <row r="532">
          <cell r="A532">
            <v>62568</v>
          </cell>
          <cell r="B532" t="str">
            <v xml:space="preserve">Fuente Oval Con Tapa 1,8lts - 27,3 x 18,8 x 11,5cm 
                                                                                                                 </v>
          </cell>
          <cell r="C532">
            <v>18780</v>
          </cell>
          <cell r="D532">
            <v>12</v>
          </cell>
          <cell r="E532" t="e">
            <v>#N/A</v>
          </cell>
        </row>
        <row r="533">
          <cell r="A533">
            <v>62528</v>
          </cell>
          <cell r="B533" t="str">
            <v xml:space="preserve">Fuente Oval Con Tapa 2,8lts - 31 x 21,5 x 13cm                                                                                                                 </v>
          </cell>
          <cell r="C533">
            <v>22705</v>
          </cell>
          <cell r="D533">
            <v>12</v>
          </cell>
          <cell r="E533" t="e">
            <v>#N/A</v>
          </cell>
        </row>
        <row r="534">
          <cell r="A534">
            <v>250510</v>
          </cell>
          <cell r="B534" t="str">
            <v>Set 3 Herméticos Redondos Tapa Plástico                                                                                                            400ml /10,5X4,8cm
620ml /15X6,7cm
950ml /18X7cm</v>
          </cell>
          <cell r="C534">
            <v>15135</v>
          </cell>
          <cell r="D534">
            <v>12</v>
          </cell>
          <cell r="E534" t="e">
            <v>#N/A</v>
          </cell>
        </row>
        <row r="535">
          <cell r="A535">
            <v>250511</v>
          </cell>
          <cell r="B535" t="str">
            <v>Set 3 Herméticos Cuadrados Tapa Plástico                                                                                                            320ml /11X11X5cm
500ml /13X13X6cm
800ml /15X15X6cm</v>
          </cell>
          <cell r="C535">
            <v>14575</v>
          </cell>
          <cell r="D535">
            <v>12</v>
          </cell>
          <cell r="E535" t="e">
            <v>#N/A</v>
          </cell>
        </row>
        <row r="536">
          <cell r="A536">
            <v>250509</v>
          </cell>
          <cell r="B536" t="str">
            <v>Set 3 Herméticos Rectang. Tapa Plástico                                                                                                      370ml /14,5X10,4X5,5cm
640ml /16,95X12,35X6cm
1040ml /19,8X14,8X6,6cm</v>
          </cell>
          <cell r="C536">
            <v>15585</v>
          </cell>
          <cell r="D536">
            <v>12</v>
          </cell>
          <cell r="E536" t="e">
            <v>#N/A</v>
          </cell>
        </row>
        <row r="537">
          <cell r="A537">
            <v>250400</v>
          </cell>
          <cell r="B537" t="str">
            <v>Set 3 Herm. Redondos Tapa Plástico c/División                                                                                                            420ml /13X5,3cm
620ml /14,9X6,2cm
950ml /17X6,8cm 2 Divisiones</v>
          </cell>
          <cell r="C537">
            <v>17885</v>
          </cell>
          <cell r="D537">
            <v>12</v>
          </cell>
          <cell r="E537" t="e">
            <v>#N/A</v>
          </cell>
        </row>
        <row r="538">
          <cell r="A538" t="str">
            <v>25040A</v>
          </cell>
          <cell r="B538" t="str">
            <v>Set 3 Herméticos Redondos Tapa Plástico c/División                                                                                                            420ml /13X5,3cm
620ml /14,9X6,2cm
950ml /17X6,8cm 3 Divisiones</v>
          </cell>
          <cell r="C538">
            <v>18555</v>
          </cell>
          <cell r="D538">
            <v>12</v>
          </cell>
          <cell r="E538" t="e">
            <v>#N/A</v>
          </cell>
        </row>
        <row r="539">
          <cell r="A539" t="str">
            <v>250510A</v>
          </cell>
          <cell r="B539" t="str">
            <v>Set 3 Herméticos Rectangulares Tapa Plástico c/División                                                                                                            370ml /14,5X10,4X5,5cm
640ml /16,95X12,35X6cm
1520ml /22X16,5X6,8cm 2 Divisiones</v>
          </cell>
          <cell r="C539">
            <v>21245</v>
          </cell>
          <cell r="D539">
            <v>12</v>
          </cell>
          <cell r="E539" t="e">
            <v>#N/A</v>
          </cell>
        </row>
        <row r="540">
          <cell r="A540" t="str">
            <v>250401-2</v>
          </cell>
          <cell r="B540" t="str">
            <v>Set 3 Herméticos Cuadrados Tapa Plástico c/División                                                                                                      320ml /11,2X5cm
500ml /13X5,6cm
1200ml /17,5X6,8cm 2 Divisiones</v>
          </cell>
          <cell r="C540">
            <v>18780</v>
          </cell>
          <cell r="D540">
            <v>12</v>
          </cell>
          <cell r="E540" t="e">
            <v>#N/A</v>
          </cell>
        </row>
        <row r="541">
          <cell r="A541" t="str">
            <v>250509A</v>
          </cell>
          <cell r="B541" t="str">
            <v>Set 3 Herméticos Rectangulares Tapa Plástico c/División                                                                                                            370ml /14,5X10,4X5,5cm
640ml /16,95X12,35X6cm 2 Divisiones
1040ml /19,8X14,8X6,6cm 3 Divisiones</v>
          </cell>
          <cell r="C541">
            <v>20965</v>
          </cell>
          <cell r="D541">
            <v>12</v>
          </cell>
          <cell r="E541" t="e">
            <v>#N/A</v>
          </cell>
        </row>
        <row r="542">
          <cell r="A542" t="str">
            <v>S2580</v>
          </cell>
          <cell r="B542" t="str">
            <v xml:space="preserve">Set 3 Herméticos Cuadrados Acero Inox Tapa Plástico                                                                                                            400ml /12,5X6cm
750ml /15,3X6,3cm 
1200ml /18,3X6,8cm </v>
          </cell>
          <cell r="C542">
            <v>30720</v>
          </cell>
          <cell r="D542">
            <v>12</v>
          </cell>
          <cell r="E542" t="e">
            <v>#N/A</v>
          </cell>
        </row>
        <row r="543">
          <cell r="A543"/>
          <cell r="B543" t="str">
            <v/>
          </cell>
          <cell r="C543"/>
          <cell r="D543"/>
          <cell r="E543" t="e">
            <v>#N/A</v>
          </cell>
        </row>
        <row r="544">
          <cell r="A544" t="str">
            <v>1741/33c</v>
          </cell>
          <cell r="B544" t="str">
            <v>Pack X2 Freshy Sólido</v>
          </cell>
          <cell r="C544">
            <v>13588</v>
          </cell>
          <cell r="D544">
            <v>6</v>
          </cell>
          <cell r="E544">
            <v>4.2087499999999998E-3</v>
          </cell>
        </row>
        <row r="545">
          <cell r="A545" t="str">
            <v>1751/3c</v>
          </cell>
          <cell r="B545" t="str">
            <v>Pack X3 Freshy</v>
          </cell>
          <cell r="C545">
            <v>10910</v>
          </cell>
          <cell r="D545">
            <v>6</v>
          </cell>
          <cell r="E545">
            <v>5.7120000000000001E-3</v>
          </cell>
        </row>
        <row r="546">
          <cell r="A546">
            <v>2502</v>
          </cell>
          <cell r="B546" t="str">
            <v>Organizador 2.5 Litros Transparente</v>
          </cell>
          <cell r="C546">
            <v>3500</v>
          </cell>
          <cell r="D546">
            <v>12</v>
          </cell>
          <cell r="E546" t="e">
            <v>#N/A</v>
          </cell>
        </row>
        <row r="547">
          <cell r="A547" t="str">
            <v>2502/1</v>
          </cell>
          <cell r="B547" t="str">
            <v>Organizador 2.5 Litros Sólido</v>
          </cell>
          <cell r="C547">
            <v>3500</v>
          </cell>
          <cell r="D547">
            <v>12</v>
          </cell>
          <cell r="E547" t="e">
            <v>#N/A</v>
          </cell>
        </row>
        <row r="548">
          <cell r="A548">
            <v>2505</v>
          </cell>
          <cell r="B548" t="str">
            <v>Organizador 5 Litros Transparente</v>
          </cell>
          <cell r="C548">
            <v>4800</v>
          </cell>
          <cell r="D548">
            <v>12</v>
          </cell>
          <cell r="E548" t="e">
            <v>#N/A</v>
          </cell>
        </row>
        <row r="549">
          <cell r="A549" t="str">
            <v>2505/1</v>
          </cell>
          <cell r="B549" t="str">
            <v>Organizador 5 Litros Sólido</v>
          </cell>
          <cell r="C549">
            <v>4800</v>
          </cell>
          <cell r="D549">
            <v>12</v>
          </cell>
          <cell r="E549" t="e">
            <v>#N/A</v>
          </cell>
        </row>
        <row r="550">
          <cell r="A550">
            <v>2508</v>
          </cell>
          <cell r="B550" t="str">
            <v>Organizador 8 Litros Transparente</v>
          </cell>
          <cell r="C550">
            <v>5700</v>
          </cell>
          <cell r="D550">
            <v>12</v>
          </cell>
          <cell r="E550" t="e">
            <v>#N/A</v>
          </cell>
        </row>
        <row r="551">
          <cell r="A551" t="str">
            <v>2508/1</v>
          </cell>
          <cell r="B551" t="str">
            <v>Organizador 8 Litros Sólido</v>
          </cell>
          <cell r="C551">
            <v>5700</v>
          </cell>
          <cell r="D551">
            <v>12</v>
          </cell>
          <cell r="E551" t="e">
            <v>#N/A</v>
          </cell>
        </row>
        <row r="552">
          <cell r="A552">
            <v>2511</v>
          </cell>
          <cell r="B552" t="str">
            <v>Organizador 11 Litros Transparente</v>
          </cell>
          <cell r="C552">
            <v>8800</v>
          </cell>
          <cell r="D552">
            <v>12</v>
          </cell>
          <cell r="E552" t="e">
            <v>#N/A</v>
          </cell>
        </row>
        <row r="553">
          <cell r="A553" t="str">
            <v>2511/1</v>
          </cell>
          <cell r="B553" t="str">
            <v>Organizador 11 Litros Sólido</v>
          </cell>
          <cell r="C553">
            <v>8800</v>
          </cell>
          <cell r="D553">
            <v>12</v>
          </cell>
          <cell r="E553" t="e">
            <v>#N/A</v>
          </cell>
        </row>
        <row r="554">
          <cell r="A554">
            <v>2520</v>
          </cell>
          <cell r="B554" t="str">
            <v>Organizador 20 Litros Transparente</v>
          </cell>
          <cell r="C554">
            <v>10200</v>
          </cell>
          <cell r="D554">
            <v>12</v>
          </cell>
          <cell r="E554" t="e">
            <v>#N/A</v>
          </cell>
        </row>
        <row r="555">
          <cell r="A555" t="str">
            <v>2520/1</v>
          </cell>
          <cell r="B555" t="str">
            <v>Organizador 20 Litros Sólido</v>
          </cell>
          <cell r="C555">
            <v>10200</v>
          </cell>
          <cell r="D555">
            <v>12</v>
          </cell>
          <cell r="E555" t="e">
            <v>#N/A</v>
          </cell>
        </row>
        <row r="556">
          <cell r="A556" t="str">
            <v>SR10/38</v>
          </cell>
          <cell r="B556" t="str">
            <v>Feria Promocional 176U 170/10 X60, 130/10 X62, 190/10 X54</v>
          </cell>
          <cell r="C556">
            <v>2821</v>
          </cell>
          <cell r="D556">
            <v>176</v>
          </cell>
          <cell r="E556">
            <v>1.1928520000000001E-3</v>
          </cell>
        </row>
        <row r="557">
          <cell r="A557" t="str">
            <v>SR10/39</v>
          </cell>
          <cell r="B557" t="str">
            <v>Feria Promocional 176 Unidades 170/6 X55, 130/6 X67, 190/6 X54</v>
          </cell>
          <cell r="C557">
            <v>2502</v>
          </cell>
          <cell r="D557">
            <v>176</v>
          </cell>
          <cell r="E557" t="e">
            <v>#N/A</v>
          </cell>
        </row>
        <row r="558">
          <cell r="A558" t="str">
            <v>SR10/43</v>
          </cell>
          <cell r="B558" t="str">
            <v>Feria Promocional 166U 165/6 X72, 125/6 X42, 185/6 X52</v>
          </cell>
          <cell r="C558">
            <v>1365</v>
          </cell>
          <cell r="D558">
            <v>166</v>
          </cell>
          <cell r="E558">
            <v>5.9273500000000005E-4</v>
          </cell>
        </row>
        <row r="559">
          <cell r="A559" t="str">
            <v>SR10/45</v>
          </cell>
          <cell r="B559" t="str">
            <v>Feria Promocional 166U 165/8 X72, 125/9 X42, 185/8X52</v>
          </cell>
          <cell r="C559">
            <v>1365</v>
          </cell>
          <cell r="D559">
            <v>166</v>
          </cell>
          <cell r="E559">
            <v>5.9273500000000005E-4</v>
          </cell>
        </row>
        <row r="560">
          <cell r="A560" t="str">
            <v>122/4C55</v>
          </cell>
          <cell r="B560" t="str">
            <v>Feria Promocional 54U 122/4C</v>
          </cell>
          <cell r="C560">
            <v>3410</v>
          </cell>
          <cell r="D560">
            <v>54</v>
          </cell>
          <cell r="E560" t="e">
            <v>#N/A</v>
          </cell>
        </row>
        <row r="561">
          <cell r="A561" t="str">
            <v>125/3C55</v>
          </cell>
          <cell r="B561" t="str">
            <v>Feria Promocional 42U 125/3C</v>
          </cell>
          <cell r="C561">
            <v>3919</v>
          </cell>
          <cell r="D561">
            <v>42</v>
          </cell>
          <cell r="E561" t="e">
            <v>#N/A</v>
          </cell>
        </row>
        <row r="562">
          <cell r="A562" t="str">
            <v>165/7C55</v>
          </cell>
          <cell r="B562" t="str">
            <v>Feria Promocional 32U 165/7C</v>
          </cell>
          <cell r="C562">
            <v>3395</v>
          </cell>
          <cell r="D562">
            <v>32</v>
          </cell>
          <cell r="E562" t="e">
            <v>#N/A</v>
          </cell>
        </row>
        <row r="563">
          <cell r="A563" t="str">
            <v>160/4C55</v>
          </cell>
          <cell r="B563" t="str">
            <v>Feria Promocional 72U 160/4C</v>
          </cell>
          <cell r="C563">
            <v>3168</v>
          </cell>
          <cell r="D563">
            <v>72</v>
          </cell>
          <cell r="E563" t="e">
            <v>#N/A</v>
          </cell>
        </row>
        <row r="564">
          <cell r="A564" t="str">
            <v>328/555</v>
          </cell>
          <cell r="B564" t="str">
            <v>Feria Promocional 65U 328 Moldes de Helados</v>
          </cell>
          <cell r="C564">
            <v>2545</v>
          </cell>
          <cell r="D564">
            <v>65</v>
          </cell>
          <cell r="E564" t="e">
            <v>#N/A</v>
          </cell>
        </row>
        <row r="565">
          <cell r="A565" t="str">
            <v>788/222</v>
          </cell>
          <cell r="B565" t="str">
            <v>Feria Promocional 110U 788/2 Jarra de Plástico</v>
          </cell>
          <cell r="C565">
            <v>3116</v>
          </cell>
          <cell r="D565">
            <v>110</v>
          </cell>
          <cell r="E565" t="e">
            <v>#N/A</v>
          </cell>
        </row>
        <row r="566">
          <cell r="A566" t="str">
            <v>1260/551</v>
          </cell>
          <cell r="B566" t="str">
            <v>Feria Promocional 57U 1260 Hielera Flexible</v>
          </cell>
          <cell r="C566">
            <v>2170</v>
          </cell>
          <cell r="D566">
            <v>57</v>
          </cell>
          <cell r="E566" t="e">
            <v>#N/A</v>
          </cell>
        </row>
        <row r="567">
          <cell r="A567" t="str">
            <v>9105/5CD</v>
          </cell>
          <cell r="B567" t="str">
            <v>Feria Promocional 104U 9105/5 Percha Lleve 6 Pague 5</v>
          </cell>
          <cell r="C567">
            <v>4530</v>
          </cell>
          <cell r="D567">
            <v>104</v>
          </cell>
          <cell r="E567" t="e">
            <v>#N/A</v>
          </cell>
        </row>
        <row r="568">
          <cell r="A568" t="str">
            <v>9105-6CD</v>
          </cell>
          <cell r="B568" t="str">
            <v>Feria Promocional 88U 9105-6 Percha Lleve 6 Pague 5</v>
          </cell>
          <cell r="C568">
            <v>4530</v>
          </cell>
          <cell r="D568">
            <v>88</v>
          </cell>
          <cell r="E568" t="e">
            <v>#N/A</v>
          </cell>
        </row>
        <row r="569">
          <cell r="A569" t="str">
            <v>712/8C</v>
          </cell>
          <cell r="B569" t="str">
            <v>Juego de 8 Herméticos Flor Capuccino (280ml X4, 664ml X2, 920ml X1, 2,7L X1)</v>
          </cell>
          <cell r="C569"/>
          <cell r="D569">
            <v>1</v>
          </cell>
          <cell r="E569" t="e">
            <v>#N/A</v>
          </cell>
        </row>
        <row r="570">
          <cell r="A570" t="str">
            <v>1720/21C</v>
          </cell>
          <cell r="B570" t="str">
            <v>Juego de 8 Herméticos Freshy Rosa (330ml X2, 537ml X2, 820ml X2, 1,24L X2)</v>
          </cell>
          <cell r="C570"/>
          <cell r="D570">
            <v>1</v>
          </cell>
          <cell r="E570" t="e">
            <v>#N/A</v>
          </cell>
        </row>
        <row r="571">
          <cell r="A571">
            <v>2502</v>
          </cell>
          <cell r="B571" t="str">
            <v>Organizador 2.5 Litros Transparente</v>
          </cell>
          <cell r="C571">
            <v>3500</v>
          </cell>
          <cell r="D571">
            <v>12</v>
          </cell>
          <cell r="E571" t="e">
            <v>#N/A</v>
          </cell>
        </row>
        <row r="572">
          <cell r="A572" t="str">
            <v>2502/1</v>
          </cell>
          <cell r="B572" t="str">
            <v>Organizador 2.5 Litros Sólido</v>
          </cell>
          <cell r="C572">
            <v>3500</v>
          </cell>
          <cell r="D572">
            <v>12</v>
          </cell>
          <cell r="E572" t="e">
            <v>#N/A</v>
          </cell>
        </row>
        <row r="573">
          <cell r="A573">
            <v>2505</v>
          </cell>
          <cell r="B573" t="str">
            <v>Organizador 5 Litros Transparente</v>
          </cell>
          <cell r="C573">
            <v>4800</v>
          </cell>
          <cell r="D573">
            <v>12</v>
          </cell>
          <cell r="E573" t="e">
            <v>#N/A</v>
          </cell>
        </row>
        <row r="574">
          <cell r="A574" t="str">
            <v>2505/1</v>
          </cell>
          <cell r="B574" t="str">
            <v>Organizador 5 Litros Sólido</v>
          </cell>
          <cell r="C574">
            <v>4800</v>
          </cell>
          <cell r="D574">
            <v>12</v>
          </cell>
          <cell r="E574" t="e">
            <v>#N/A</v>
          </cell>
        </row>
        <row r="575">
          <cell r="A575">
            <v>2508</v>
          </cell>
          <cell r="B575" t="str">
            <v>Organizador 8 Litros Transparente</v>
          </cell>
          <cell r="C575">
            <v>5700</v>
          </cell>
          <cell r="D575">
            <v>12</v>
          </cell>
          <cell r="E575" t="e">
            <v>#N/A</v>
          </cell>
        </row>
        <row r="576">
          <cell r="A576" t="str">
            <v>2508/1</v>
          </cell>
          <cell r="B576" t="str">
            <v>Organizador 8 Litros Sólido</v>
          </cell>
          <cell r="C576">
            <v>5700</v>
          </cell>
          <cell r="D576">
            <v>12</v>
          </cell>
          <cell r="E576" t="e">
            <v>#N/A</v>
          </cell>
        </row>
        <row r="577">
          <cell r="A577">
            <v>2511</v>
          </cell>
          <cell r="B577" t="str">
            <v>Organizador 11 Litros Transparente</v>
          </cell>
          <cell r="C577">
            <v>8800</v>
          </cell>
          <cell r="D577">
            <v>12</v>
          </cell>
          <cell r="E577" t="e">
            <v>#N/A</v>
          </cell>
        </row>
        <row r="578">
          <cell r="A578" t="str">
            <v>2511/1</v>
          </cell>
          <cell r="B578" t="str">
            <v>Organizador 11 Litros Sólido</v>
          </cell>
          <cell r="C578">
            <v>8800</v>
          </cell>
          <cell r="D578">
            <v>12</v>
          </cell>
          <cell r="E578" t="e">
            <v>#N/A</v>
          </cell>
        </row>
        <row r="579">
          <cell r="A579">
            <v>2520</v>
          </cell>
          <cell r="B579" t="str">
            <v>Organizador 20 Litros Transparente</v>
          </cell>
          <cell r="C579">
            <v>10200</v>
          </cell>
          <cell r="D579">
            <v>12</v>
          </cell>
          <cell r="E579" t="e">
            <v>#N/A</v>
          </cell>
        </row>
        <row r="580">
          <cell r="A580" t="str">
            <v>2520/1</v>
          </cell>
          <cell r="B580" t="str">
            <v>Organizador 20 Litros Sólido</v>
          </cell>
          <cell r="C580">
            <v>10200</v>
          </cell>
          <cell r="D580">
            <v>12</v>
          </cell>
          <cell r="E580" t="e">
            <v>#N/A</v>
          </cell>
        </row>
        <row r="581">
          <cell r="A581"/>
          <cell r="B581" t="str">
            <v/>
          </cell>
          <cell r="C581"/>
          <cell r="D581">
            <v>12</v>
          </cell>
          <cell r="E581" t="e">
            <v>#N/A</v>
          </cell>
        </row>
        <row r="582">
          <cell r="A582"/>
          <cell r="B582" t="str">
            <v/>
          </cell>
          <cell r="C582"/>
          <cell r="D582">
            <v>12</v>
          </cell>
          <cell r="E582" t="e">
            <v>#N/A</v>
          </cell>
        </row>
        <row r="583">
          <cell r="A583"/>
          <cell r="B583" t="str">
            <v/>
          </cell>
          <cell r="C583"/>
          <cell r="D583">
            <v>12</v>
          </cell>
          <cell r="E583" t="e">
            <v>#N/A</v>
          </cell>
        </row>
        <row r="585">
          <cell r="A585"/>
          <cell r="B585"/>
          <cell r="C585"/>
          <cell r="D585"/>
        </row>
        <row r="586">
          <cell r="A586"/>
          <cell r="B586"/>
          <cell r="C586"/>
          <cell r="D586"/>
        </row>
        <row r="587">
          <cell r="A587"/>
          <cell r="B587"/>
          <cell r="C587"/>
          <cell r="D587"/>
        </row>
        <row r="588">
          <cell r="A588"/>
          <cell r="B588"/>
          <cell r="C588"/>
          <cell r="D588"/>
        </row>
        <row r="589">
          <cell r="A589"/>
          <cell r="B589"/>
          <cell r="C589"/>
          <cell r="D589"/>
        </row>
        <row r="590">
          <cell r="A590"/>
          <cell r="B590"/>
          <cell r="C590"/>
          <cell r="D590"/>
        </row>
        <row r="591">
          <cell r="A591"/>
          <cell r="B591"/>
          <cell r="C591"/>
          <cell r="D591"/>
        </row>
        <row r="592">
          <cell r="A592"/>
          <cell r="B592"/>
          <cell r="C592"/>
          <cell r="D592"/>
        </row>
        <row r="593">
          <cell r="A593"/>
          <cell r="B593"/>
          <cell r="C593"/>
          <cell r="D593"/>
          <cell r="E593"/>
        </row>
        <row r="594">
          <cell r="A594"/>
          <cell r="B594"/>
          <cell r="C594"/>
          <cell r="D594"/>
        </row>
        <row r="595">
          <cell r="A595"/>
          <cell r="B595"/>
          <cell r="C595"/>
          <cell r="D595"/>
        </row>
        <row r="596">
          <cell r="A596"/>
          <cell r="B596"/>
          <cell r="C596"/>
          <cell r="D596"/>
        </row>
        <row r="597">
          <cell r="A597"/>
          <cell r="B597"/>
          <cell r="C597"/>
          <cell r="D597"/>
        </row>
        <row r="598">
          <cell r="A598"/>
          <cell r="B598"/>
          <cell r="C598"/>
          <cell r="D598"/>
        </row>
        <row r="599">
          <cell r="A599"/>
          <cell r="B599"/>
          <cell r="C599"/>
          <cell r="D599"/>
        </row>
        <row r="600">
          <cell r="A600"/>
          <cell r="B600"/>
          <cell r="C600"/>
          <cell r="D600"/>
        </row>
        <row r="601">
          <cell r="A601"/>
          <cell r="B601"/>
          <cell r="C601"/>
          <cell r="D601"/>
        </row>
        <row r="602">
          <cell r="A602"/>
          <cell r="B602"/>
          <cell r="C602"/>
          <cell r="D602"/>
        </row>
        <row r="603">
          <cell r="A603"/>
          <cell r="B603"/>
          <cell r="C603"/>
          <cell r="D603"/>
        </row>
        <row r="604">
          <cell r="A604"/>
          <cell r="B604"/>
          <cell r="C604"/>
          <cell r="D604"/>
        </row>
        <row r="605">
          <cell r="A605"/>
          <cell r="B605"/>
          <cell r="C605"/>
          <cell r="D605"/>
        </row>
        <row r="606">
          <cell r="A606"/>
          <cell r="B606"/>
          <cell r="C606"/>
          <cell r="D606"/>
        </row>
        <row r="607">
          <cell r="A607"/>
          <cell r="B607"/>
          <cell r="C607"/>
          <cell r="D607"/>
        </row>
        <row r="608">
          <cell r="A608"/>
          <cell r="B608"/>
          <cell r="C608"/>
          <cell r="D608"/>
        </row>
        <row r="609">
          <cell r="A609"/>
          <cell r="B609"/>
          <cell r="C609"/>
          <cell r="D609"/>
        </row>
        <row r="610">
          <cell r="A610"/>
          <cell r="B610"/>
          <cell r="C610"/>
          <cell r="D610"/>
        </row>
      </sheetData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A76B65-1FED-4178-A6BD-460DA1DC3A04}" name="Tabla13" displayName="Tabla13" ref="S2:S4" totalsRowShown="0">
  <autoFilter ref="S2:S4" xr:uid="{69A76B65-1FED-4178-A6BD-460DA1DC3A04}"/>
  <tableColumns count="1">
    <tableColumn id="1" xr3:uid="{06477EC4-906C-41CB-A966-DBC9457B779A}" name="Lis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12"/>
  <sheetViews>
    <sheetView topLeftCell="A589" zoomScaleNormal="100" workbookViewId="0">
      <selection activeCell="A592" sqref="A592:D609"/>
    </sheetView>
  </sheetViews>
  <sheetFormatPr defaultColWidth="9.109375" defaultRowHeight="13.8" x14ac:dyDescent="0.25"/>
  <cols>
    <col min="1" max="1" width="12.33203125" style="1" customWidth="1"/>
    <col min="2" max="2" width="56.44140625" bestFit="1" customWidth="1"/>
    <col min="3" max="3" width="12.44140625" style="209" bestFit="1" customWidth="1"/>
    <col min="4" max="4" width="8.6640625" style="1" customWidth="1"/>
    <col min="5" max="5" width="9.5546875" style="67" customWidth="1"/>
    <col min="6" max="8" width="0" hidden="1" customWidth="1"/>
    <col min="9" max="12" width="11.44140625" hidden="1" customWidth="1"/>
    <col min="256" max="256" width="12.33203125" customWidth="1"/>
    <col min="257" max="257" width="56.44140625" bestFit="1" customWidth="1"/>
    <col min="258" max="258" width="12.44140625" bestFit="1" customWidth="1"/>
    <col min="259" max="259" width="8.6640625" customWidth="1"/>
    <col min="260" max="260" width="9.5546875" customWidth="1"/>
    <col min="261" max="267" width="0" hidden="1" customWidth="1"/>
    <col min="512" max="512" width="12.33203125" customWidth="1"/>
    <col min="513" max="513" width="56.44140625" bestFit="1" customWidth="1"/>
    <col min="514" max="514" width="12.44140625" bestFit="1" customWidth="1"/>
    <col min="515" max="515" width="8.6640625" customWidth="1"/>
    <col min="516" max="516" width="9.5546875" customWidth="1"/>
    <col min="517" max="523" width="0" hidden="1" customWidth="1"/>
    <col min="768" max="768" width="12.33203125" customWidth="1"/>
    <col min="769" max="769" width="56.44140625" bestFit="1" customWidth="1"/>
    <col min="770" max="770" width="12.44140625" bestFit="1" customWidth="1"/>
    <col min="771" max="771" width="8.6640625" customWidth="1"/>
    <col min="772" max="772" width="9.5546875" customWidth="1"/>
    <col min="773" max="779" width="0" hidden="1" customWidth="1"/>
    <col min="1024" max="1024" width="12.33203125" customWidth="1"/>
    <col min="1025" max="1025" width="56.44140625" bestFit="1" customWidth="1"/>
    <col min="1026" max="1026" width="12.44140625" bestFit="1" customWidth="1"/>
    <col min="1027" max="1027" width="8.6640625" customWidth="1"/>
    <col min="1028" max="1028" width="9.5546875" customWidth="1"/>
    <col min="1029" max="1035" width="0" hidden="1" customWidth="1"/>
    <col min="1280" max="1280" width="12.33203125" customWidth="1"/>
    <col min="1281" max="1281" width="56.44140625" bestFit="1" customWidth="1"/>
    <col min="1282" max="1282" width="12.44140625" bestFit="1" customWidth="1"/>
    <col min="1283" max="1283" width="8.6640625" customWidth="1"/>
    <col min="1284" max="1284" width="9.5546875" customWidth="1"/>
    <col min="1285" max="1291" width="0" hidden="1" customWidth="1"/>
    <col min="1536" max="1536" width="12.33203125" customWidth="1"/>
    <col min="1537" max="1537" width="56.44140625" bestFit="1" customWidth="1"/>
    <col min="1538" max="1538" width="12.44140625" bestFit="1" customWidth="1"/>
    <col min="1539" max="1539" width="8.6640625" customWidth="1"/>
    <col min="1540" max="1540" width="9.5546875" customWidth="1"/>
    <col min="1541" max="1547" width="0" hidden="1" customWidth="1"/>
    <col min="1792" max="1792" width="12.33203125" customWidth="1"/>
    <col min="1793" max="1793" width="56.44140625" bestFit="1" customWidth="1"/>
    <col min="1794" max="1794" width="12.44140625" bestFit="1" customWidth="1"/>
    <col min="1795" max="1795" width="8.6640625" customWidth="1"/>
    <col min="1796" max="1796" width="9.5546875" customWidth="1"/>
    <col min="1797" max="1803" width="0" hidden="1" customWidth="1"/>
    <col min="2048" max="2048" width="12.33203125" customWidth="1"/>
    <col min="2049" max="2049" width="56.44140625" bestFit="1" customWidth="1"/>
    <col min="2050" max="2050" width="12.44140625" bestFit="1" customWidth="1"/>
    <col min="2051" max="2051" width="8.6640625" customWidth="1"/>
    <col min="2052" max="2052" width="9.5546875" customWidth="1"/>
    <col min="2053" max="2059" width="0" hidden="1" customWidth="1"/>
    <col min="2304" max="2304" width="12.33203125" customWidth="1"/>
    <col min="2305" max="2305" width="56.44140625" bestFit="1" customWidth="1"/>
    <col min="2306" max="2306" width="12.44140625" bestFit="1" customWidth="1"/>
    <col min="2307" max="2307" width="8.6640625" customWidth="1"/>
    <col min="2308" max="2308" width="9.5546875" customWidth="1"/>
    <col min="2309" max="2315" width="0" hidden="1" customWidth="1"/>
    <col min="2560" max="2560" width="12.33203125" customWidth="1"/>
    <col min="2561" max="2561" width="56.44140625" bestFit="1" customWidth="1"/>
    <col min="2562" max="2562" width="12.44140625" bestFit="1" customWidth="1"/>
    <col min="2563" max="2563" width="8.6640625" customWidth="1"/>
    <col min="2564" max="2564" width="9.5546875" customWidth="1"/>
    <col min="2565" max="2571" width="0" hidden="1" customWidth="1"/>
    <col min="2816" max="2816" width="12.33203125" customWidth="1"/>
    <col min="2817" max="2817" width="56.44140625" bestFit="1" customWidth="1"/>
    <col min="2818" max="2818" width="12.44140625" bestFit="1" customWidth="1"/>
    <col min="2819" max="2819" width="8.6640625" customWidth="1"/>
    <col min="2820" max="2820" width="9.5546875" customWidth="1"/>
    <col min="2821" max="2827" width="0" hidden="1" customWidth="1"/>
    <col min="3072" max="3072" width="12.33203125" customWidth="1"/>
    <col min="3073" max="3073" width="56.44140625" bestFit="1" customWidth="1"/>
    <col min="3074" max="3074" width="12.44140625" bestFit="1" customWidth="1"/>
    <col min="3075" max="3075" width="8.6640625" customWidth="1"/>
    <col min="3076" max="3076" width="9.5546875" customWidth="1"/>
    <col min="3077" max="3083" width="0" hidden="1" customWidth="1"/>
    <col min="3328" max="3328" width="12.33203125" customWidth="1"/>
    <col min="3329" max="3329" width="56.44140625" bestFit="1" customWidth="1"/>
    <col min="3330" max="3330" width="12.44140625" bestFit="1" customWidth="1"/>
    <col min="3331" max="3331" width="8.6640625" customWidth="1"/>
    <col min="3332" max="3332" width="9.5546875" customWidth="1"/>
    <col min="3333" max="3339" width="0" hidden="1" customWidth="1"/>
    <col min="3584" max="3584" width="12.33203125" customWidth="1"/>
    <col min="3585" max="3585" width="56.44140625" bestFit="1" customWidth="1"/>
    <col min="3586" max="3586" width="12.44140625" bestFit="1" customWidth="1"/>
    <col min="3587" max="3587" width="8.6640625" customWidth="1"/>
    <col min="3588" max="3588" width="9.5546875" customWidth="1"/>
    <col min="3589" max="3595" width="0" hidden="1" customWidth="1"/>
    <col min="3840" max="3840" width="12.33203125" customWidth="1"/>
    <col min="3841" max="3841" width="56.44140625" bestFit="1" customWidth="1"/>
    <col min="3842" max="3842" width="12.44140625" bestFit="1" customWidth="1"/>
    <col min="3843" max="3843" width="8.6640625" customWidth="1"/>
    <col min="3844" max="3844" width="9.5546875" customWidth="1"/>
    <col min="3845" max="3851" width="0" hidden="1" customWidth="1"/>
    <col min="4096" max="4096" width="12.33203125" customWidth="1"/>
    <col min="4097" max="4097" width="56.44140625" bestFit="1" customWidth="1"/>
    <col min="4098" max="4098" width="12.44140625" bestFit="1" customWidth="1"/>
    <col min="4099" max="4099" width="8.6640625" customWidth="1"/>
    <col min="4100" max="4100" width="9.5546875" customWidth="1"/>
    <col min="4101" max="4107" width="0" hidden="1" customWidth="1"/>
    <col min="4352" max="4352" width="12.33203125" customWidth="1"/>
    <col min="4353" max="4353" width="56.44140625" bestFit="1" customWidth="1"/>
    <col min="4354" max="4354" width="12.44140625" bestFit="1" customWidth="1"/>
    <col min="4355" max="4355" width="8.6640625" customWidth="1"/>
    <col min="4356" max="4356" width="9.5546875" customWidth="1"/>
    <col min="4357" max="4363" width="0" hidden="1" customWidth="1"/>
    <col min="4608" max="4608" width="12.33203125" customWidth="1"/>
    <col min="4609" max="4609" width="56.44140625" bestFit="1" customWidth="1"/>
    <col min="4610" max="4610" width="12.44140625" bestFit="1" customWidth="1"/>
    <col min="4611" max="4611" width="8.6640625" customWidth="1"/>
    <col min="4612" max="4612" width="9.5546875" customWidth="1"/>
    <col min="4613" max="4619" width="0" hidden="1" customWidth="1"/>
    <col min="4864" max="4864" width="12.33203125" customWidth="1"/>
    <col min="4865" max="4865" width="56.44140625" bestFit="1" customWidth="1"/>
    <col min="4866" max="4866" width="12.44140625" bestFit="1" customWidth="1"/>
    <col min="4867" max="4867" width="8.6640625" customWidth="1"/>
    <col min="4868" max="4868" width="9.5546875" customWidth="1"/>
    <col min="4869" max="4875" width="0" hidden="1" customWidth="1"/>
    <col min="5120" max="5120" width="12.33203125" customWidth="1"/>
    <col min="5121" max="5121" width="56.44140625" bestFit="1" customWidth="1"/>
    <col min="5122" max="5122" width="12.44140625" bestFit="1" customWidth="1"/>
    <col min="5123" max="5123" width="8.6640625" customWidth="1"/>
    <col min="5124" max="5124" width="9.5546875" customWidth="1"/>
    <col min="5125" max="5131" width="0" hidden="1" customWidth="1"/>
    <col min="5376" max="5376" width="12.33203125" customWidth="1"/>
    <col min="5377" max="5377" width="56.44140625" bestFit="1" customWidth="1"/>
    <col min="5378" max="5378" width="12.44140625" bestFit="1" customWidth="1"/>
    <col min="5379" max="5379" width="8.6640625" customWidth="1"/>
    <col min="5380" max="5380" width="9.5546875" customWidth="1"/>
    <col min="5381" max="5387" width="0" hidden="1" customWidth="1"/>
    <col min="5632" max="5632" width="12.33203125" customWidth="1"/>
    <col min="5633" max="5633" width="56.44140625" bestFit="1" customWidth="1"/>
    <col min="5634" max="5634" width="12.44140625" bestFit="1" customWidth="1"/>
    <col min="5635" max="5635" width="8.6640625" customWidth="1"/>
    <col min="5636" max="5636" width="9.5546875" customWidth="1"/>
    <col min="5637" max="5643" width="0" hidden="1" customWidth="1"/>
    <col min="5888" max="5888" width="12.33203125" customWidth="1"/>
    <col min="5889" max="5889" width="56.44140625" bestFit="1" customWidth="1"/>
    <col min="5890" max="5890" width="12.44140625" bestFit="1" customWidth="1"/>
    <col min="5891" max="5891" width="8.6640625" customWidth="1"/>
    <col min="5892" max="5892" width="9.5546875" customWidth="1"/>
    <col min="5893" max="5899" width="0" hidden="1" customWidth="1"/>
    <col min="6144" max="6144" width="12.33203125" customWidth="1"/>
    <col min="6145" max="6145" width="56.44140625" bestFit="1" customWidth="1"/>
    <col min="6146" max="6146" width="12.44140625" bestFit="1" customWidth="1"/>
    <col min="6147" max="6147" width="8.6640625" customWidth="1"/>
    <col min="6148" max="6148" width="9.5546875" customWidth="1"/>
    <col min="6149" max="6155" width="0" hidden="1" customWidth="1"/>
    <col min="6400" max="6400" width="12.33203125" customWidth="1"/>
    <col min="6401" max="6401" width="56.44140625" bestFit="1" customWidth="1"/>
    <col min="6402" max="6402" width="12.44140625" bestFit="1" customWidth="1"/>
    <col min="6403" max="6403" width="8.6640625" customWidth="1"/>
    <col min="6404" max="6404" width="9.5546875" customWidth="1"/>
    <col min="6405" max="6411" width="0" hidden="1" customWidth="1"/>
    <col min="6656" max="6656" width="12.33203125" customWidth="1"/>
    <col min="6657" max="6657" width="56.44140625" bestFit="1" customWidth="1"/>
    <col min="6658" max="6658" width="12.44140625" bestFit="1" customWidth="1"/>
    <col min="6659" max="6659" width="8.6640625" customWidth="1"/>
    <col min="6660" max="6660" width="9.5546875" customWidth="1"/>
    <col min="6661" max="6667" width="0" hidden="1" customWidth="1"/>
    <col min="6912" max="6912" width="12.33203125" customWidth="1"/>
    <col min="6913" max="6913" width="56.44140625" bestFit="1" customWidth="1"/>
    <col min="6914" max="6914" width="12.44140625" bestFit="1" customWidth="1"/>
    <col min="6915" max="6915" width="8.6640625" customWidth="1"/>
    <col min="6916" max="6916" width="9.5546875" customWidth="1"/>
    <col min="6917" max="6923" width="0" hidden="1" customWidth="1"/>
    <col min="7168" max="7168" width="12.33203125" customWidth="1"/>
    <col min="7169" max="7169" width="56.44140625" bestFit="1" customWidth="1"/>
    <col min="7170" max="7170" width="12.44140625" bestFit="1" customWidth="1"/>
    <col min="7171" max="7171" width="8.6640625" customWidth="1"/>
    <col min="7172" max="7172" width="9.5546875" customWidth="1"/>
    <col min="7173" max="7179" width="0" hidden="1" customWidth="1"/>
    <col min="7424" max="7424" width="12.33203125" customWidth="1"/>
    <col min="7425" max="7425" width="56.44140625" bestFit="1" customWidth="1"/>
    <col min="7426" max="7426" width="12.44140625" bestFit="1" customWidth="1"/>
    <col min="7427" max="7427" width="8.6640625" customWidth="1"/>
    <col min="7428" max="7428" width="9.5546875" customWidth="1"/>
    <col min="7429" max="7435" width="0" hidden="1" customWidth="1"/>
    <col min="7680" max="7680" width="12.33203125" customWidth="1"/>
    <col min="7681" max="7681" width="56.44140625" bestFit="1" customWidth="1"/>
    <col min="7682" max="7682" width="12.44140625" bestFit="1" customWidth="1"/>
    <col min="7683" max="7683" width="8.6640625" customWidth="1"/>
    <col min="7684" max="7684" width="9.5546875" customWidth="1"/>
    <col min="7685" max="7691" width="0" hidden="1" customWidth="1"/>
    <col min="7936" max="7936" width="12.33203125" customWidth="1"/>
    <col min="7937" max="7937" width="56.44140625" bestFit="1" customWidth="1"/>
    <col min="7938" max="7938" width="12.44140625" bestFit="1" customWidth="1"/>
    <col min="7939" max="7939" width="8.6640625" customWidth="1"/>
    <col min="7940" max="7940" width="9.5546875" customWidth="1"/>
    <col min="7941" max="7947" width="0" hidden="1" customWidth="1"/>
    <col min="8192" max="8192" width="12.33203125" customWidth="1"/>
    <col min="8193" max="8193" width="56.44140625" bestFit="1" customWidth="1"/>
    <col min="8194" max="8194" width="12.44140625" bestFit="1" customWidth="1"/>
    <col min="8195" max="8195" width="8.6640625" customWidth="1"/>
    <col min="8196" max="8196" width="9.5546875" customWidth="1"/>
    <col min="8197" max="8203" width="0" hidden="1" customWidth="1"/>
    <col min="8448" max="8448" width="12.33203125" customWidth="1"/>
    <col min="8449" max="8449" width="56.44140625" bestFit="1" customWidth="1"/>
    <col min="8450" max="8450" width="12.44140625" bestFit="1" customWidth="1"/>
    <col min="8451" max="8451" width="8.6640625" customWidth="1"/>
    <col min="8452" max="8452" width="9.5546875" customWidth="1"/>
    <col min="8453" max="8459" width="0" hidden="1" customWidth="1"/>
    <col min="8704" max="8704" width="12.33203125" customWidth="1"/>
    <col min="8705" max="8705" width="56.44140625" bestFit="1" customWidth="1"/>
    <col min="8706" max="8706" width="12.44140625" bestFit="1" customWidth="1"/>
    <col min="8707" max="8707" width="8.6640625" customWidth="1"/>
    <col min="8708" max="8708" width="9.5546875" customWidth="1"/>
    <col min="8709" max="8715" width="0" hidden="1" customWidth="1"/>
    <col min="8960" max="8960" width="12.33203125" customWidth="1"/>
    <col min="8961" max="8961" width="56.44140625" bestFit="1" customWidth="1"/>
    <col min="8962" max="8962" width="12.44140625" bestFit="1" customWidth="1"/>
    <col min="8963" max="8963" width="8.6640625" customWidth="1"/>
    <col min="8964" max="8964" width="9.5546875" customWidth="1"/>
    <col min="8965" max="8971" width="0" hidden="1" customWidth="1"/>
    <col min="9216" max="9216" width="12.33203125" customWidth="1"/>
    <col min="9217" max="9217" width="56.44140625" bestFit="1" customWidth="1"/>
    <col min="9218" max="9218" width="12.44140625" bestFit="1" customWidth="1"/>
    <col min="9219" max="9219" width="8.6640625" customWidth="1"/>
    <col min="9220" max="9220" width="9.5546875" customWidth="1"/>
    <col min="9221" max="9227" width="0" hidden="1" customWidth="1"/>
    <col min="9472" max="9472" width="12.33203125" customWidth="1"/>
    <col min="9473" max="9473" width="56.44140625" bestFit="1" customWidth="1"/>
    <col min="9474" max="9474" width="12.44140625" bestFit="1" customWidth="1"/>
    <col min="9475" max="9475" width="8.6640625" customWidth="1"/>
    <col min="9476" max="9476" width="9.5546875" customWidth="1"/>
    <col min="9477" max="9483" width="0" hidden="1" customWidth="1"/>
    <col min="9728" max="9728" width="12.33203125" customWidth="1"/>
    <col min="9729" max="9729" width="56.44140625" bestFit="1" customWidth="1"/>
    <col min="9730" max="9730" width="12.44140625" bestFit="1" customWidth="1"/>
    <col min="9731" max="9731" width="8.6640625" customWidth="1"/>
    <col min="9732" max="9732" width="9.5546875" customWidth="1"/>
    <col min="9733" max="9739" width="0" hidden="1" customWidth="1"/>
    <col min="9984" max="9984" width="12.33203125" customWidth="1"/>
    <col min="9985" max="9985" width="56.44140625" bestFit="1" customWidth="1"/>
    <col min="9986" max="9986" width="12.44140625" bestFit="1" customWidth="1"/>
    <col min="9987" max="9987" width="8.6640625" customWidth="1"/>
    <col min="9988" max="9988" width="9.5546875" customWidth="1"/>
    <col min="9989" max="9995" width="0" hidden="1" customWidth="1"/>
    <col min="10240" max="10240" width="12.33203125" customWidth="1"/>
    <col min="10241" max="10241" width="56.44140625" bestFit="1" customWidth="1"/>
    <col min="10242" max="10242" width="12.44140625" bestFit="1" customWidth="1"/>
    <col min="10243" max="10243" width="8.6640625" customWidth="1"/>
    <col min="10244" max="10244" width="9.5546875" customWidth="1"/>
    <col min="10245" max="10251" width="0" hidden="1" customWidth="1"/>
    <col min="10496" max="10496" width="12.33203125" customWidth="1"/>
    <col min="10497" max="10497" width="56.44140625" bestFit="1" customWidth="1"/>
    <col min="10498" max="10498" width="12.44140625" bestFit="1" customWidth="1"/>
    <col min="10499" max="10499" width="8.6640625" customWidth="1"/>
    <col min="10500" max="10500" width="9.5546875" customWidth="1"/>
    <col min="10501" max="10507" width="0" hidden="1" customWidth="1"/>
    <col min="10752" max="10752" width="12.33203125" customWidth="1"/>
    <col min="10753" max="10753" width="56.44140625" bestFit="1" customWidth="1"/>
    <col min="10754" max="10754" width="12.44140625" bestFit="1" customWidth="1"/>
    <col min="10755" max="10755" width="8.6640625" customWidth="1"/>
    <col min="10756" max="10756" width="9.5546875" customWidth="1"/>
    <col min="10757" max="10763" width="0" hidden="1" customWidth="1"/>
    <col min="11008" max="11008" width="12.33203125" customWidth="1"/>
    <col min="11009" max="11009" width="56.44140625" bestFit="1" customWidth="1"/>
    <col min="11010" max="11010" width="12.44140625" bestFit="1" customWidth="1"/>
    <col min="11011" max="11011" width="8.6640625" customWidth="1"/>
    <col min="11012" max="11012" width="9.5546875" customWidth="1"/>
    <col min="11013" max="11019" width="0" hidden="1" customWidth="1"/>
    <col min="11264" max="11264" width="12.33203125" customWidth="1"/>
    <col min="11265" max="11265" width="56.44140625" bestFit="1" customWidth="1"/>
    <col min="11266" max="11266" width="12.44140625" bestFit="1" customWidth="1"/>
    <col min="11267" max="11267" width="8.6640625" customWidth="1"/>
    <col min="11268" max="11268" width="9.5546875" customWidth="1"/>
    <col min="11269" max="11275" width="0" hidden="1" customWidth="1"/>
    <col min="11520" max="11520" width="12.33203125" customWidth="1"/>
    <col min="11521" max="11521" width="56.44140625" bestFit="1" customWidth="1"/>
    <col min="11522" max="11522" width="12.44140625" bestFit="1" customWidth="1"/>
    <col min="11523" max="11523" width="8.6640625" customWidth="1"/>
    <col min="11524" max="11524" width="9.5546875" customWidth="1"/>
    <col min="11525" max="11531" width="0" hidden="1" customWidth="1"/>
    <col min="11776" max="11776" width="12.33203125" customWidth="1"/>
    <col min="11777" max="11777" width="56.44140625" bestFit="1" customWidth="1"/>
    <col min="11778" max="11778" width="12.44140625" bestFit="1" customWidth="1"/>
    <col min="11779" max="11779" width="8.6640625" customWidth="1"/>
    <col min="11780" max="11780" width="9.5546875" customWidth="1"/>
    <col min="11781" max="11787" width="0" hidden="1" customWidth="1"/>
    <col min="12032" max="12032" width="12.33203125" customWidth="1"/>
    <col min="12033" max="12033" width="56.44140625" bestFit="1" customWidth="1"/>
    <col min="12034" max="12034" width="12.44140625" bestFit="1" customWidth="1"/>
    <col min="12035" max="12035" width="8.6640625" customWidth="1"/>
    <col min="12036" max="12036" width="9.5546875" customWidth="1"/>
    <col min="12037" max="12043" width="0" hidden="1" customWidth="1"/>
    <col min="12288" max="12288" width="12.33203125" customWidth="1"/>
    <col min="12289" max="12289" width="56.44140625" bestFit="1" customWidth="1"/>
    <col min="12290" max="12290" width="12.44140625" bestFit="1" customWidth="1"/>
    <col min="12291" max="12291" width="8.6640625" customWidth="1"/>
    <col min="12292" max="12292" width="9.5546875" customWidth="1"/>
    <col min="12293" max="12299" width="0" hidden="1" customWidth="1"/>
    <col min="12544" max="12544" width="12.33203125" customWidth="1"/>
    <col min="12545" max="12545" width="56.44140625" bestFit="1" customWidth="1"/>
    <col min="12546" max="12546" width="12.44140625" bestFit="1" customWidth="1"/>
    <col min="12547" max="12547" width="8.6640625" customWidth="1"/>
    <col min="12548" max="12548" width="9.5546875" customWidth="1"/>
    <col min="12549" max="12555" width="0" hidden="1" customWidth="1"/>
    <col min="12800" max="12800" width="12.33203125" customWidth="1"/>
    <col min="12801" max="12801" width="56.44140625" bestFit="1" customWidth="1"/>
    <col min="12802" max="12802" width="12.44140625" bestFit="1" customWidth="1"/>
    <col min="12803" max="12803" width="8.6640625" customWidth="1"/>
    <col min="12804" max="12804" width="9.5546875" customWidth="1"/>
    <col min="12805" max="12811" width="0" hidden="1" customWidth="1"/>
    <col min="13056" max="13056" width="12.33203125" customWidth="1"/>
    <col min="13057" max="13057" width="56.44140625" bestFit="1" customWidth="1"/>
    <col min="13058" max="13058" width="12.44140625" bestFit="1" customWidth="1"/>
    <col min="13059" max="13059" width="8.6640625" customWidth="1"/>
    <col min="13060" max="13060" width="9.5546875" customWidth="1"/>
    <col min="13061" max="13067" width="0" hidden="1" customWidth="1"/>
    <col min="13312" max="13312" width="12.33203125" customWidth="1"/>
    <col min="13313" max="13313" width="56.44140625" bestFit="1" customWidth="1"/>
    <col min="13314" max="13314" width="12.44140625" bestFit="1" customWidth="1"/>
    <col min="13315" max="13315" width="8.6640625" customWidth="1"/>
    <col min="13316" max="13316" width="9.5546875" customWidth="1"/>
    <col min="13317" max="13323" width="0" hidden="1" customWidth="1"/>
    <col min="13568" max="13568" width="12.33203125" customWidth="1"/>
    <col min="13569" max="13569" width="56.44140625" bestFit="1" customWidth="1"/>
    <col min="13570" max="13570" width="12.44140625" bestFit="1" customWidth="1"/>
    <col min="13571" max="13571" width="8.6640625" customWidth="1"/>
    <col min="13572" max="13572" width="9.5546875" customWidth="1"/>
    <col min="13573" max="13579" width="0" hidden="1" customWidth="1"/>
    <col min="13824" max="13824" width="12.33203125" customWidth="1"/>
    <col min="13825" max="13825" width="56.44140625" bestFit="1" customWidth="1"/>
    <col min="13826" max="13826" width="12.44140625" bestFit="1" customWidth="1"/>
    <col min="13827" max="13827" width="8.6640625" customWidth="1"/>
    <col min="13828" max="13828" width="9.5546875" customWidth="1"/>
    <col min="13829" max="13835" width="0" hidden="1" customWidth="1"/>
    <col min="14080" max="14080" width="12.33203125" customWidth="1"/>
    <col min="14081" max="14081" width="56.44140625" bestFit="1" customWidth="1"/>
    <col min="14082" max="14082" width="12.44140625" bestFit="1" customWidth="1"/>
    <col min="14083" max="14083" width="8.6640625" customWidth="1"/>
    <col min="14084" max="14084" width="9.5546875" customWidth="1"/>
    <col min="14085" max="14091" width="0" hidden="1" customWidth="1"/>
    <col min="14336" max="14336" width="12.33203125" customWidth="1"/>
    <col min="14337" max="14337" width="56.44140625" bestFit="1" customWidth="1"/>
    <col min="14338" max="14338" width="12.44140625" bestFit="1" customWidth="1"/>
    <col min="14339" max="14339" width="8.6640625" customWidth="1"/>
    <col min="14340" max="14340" width="9.5546875" customWidth="1"/>
    <col min="14341" max="14347" width="0" hidden="1" customWidth="1"/>
    <col min="14592" max="14592" width="12.33203125" customWidth="1"/>
    <col min="14593" max="14593" width="56.44140625" bestFit="1" customWidth="1"/>
    <col min="14594" max="14594" width="12.44140625" bestFit="1" customWidth="1"/>
    <col min="14595" max="14595" width="8.6640625" customWidth="1"/>
    <col min="14596" max="14596" width="9.5546875" customWidth="1"/>
    <col min="14597" max="14603" width="0" hidden="1" customWidth="1"/>
    <col min="14848" max="14848" width="12.33203125" customWidth="1"/>
    <col min="14849" max="14849" width="56.44140625" bestFit="1" customWidth="1"/>
    <col min="14850" max="14850" width="12.44140625" bestFit="1" customWidth="1"/>
    <col min="14851" max="14851" width="8.6640625" customWidth="1"/>
    <col min="14852" max="14852" width="9.5546875" customWidth="1"/>
    <col min="14853" max="14859" width="0" hidden="1" customWidth="1"/>
    <col min="15104" max="15104" width="12.33203125" customWidth="1"/>
    <col min="15105" max="15105" width="56.44140625" bestFit="1" customWidth="1"/>
    <col min="15106" max="15106" width="12.44140625" bestFit="1" customWidth="1"/>
    <col min="15107" max="15107" width="8.6640625" customWidth="1"/>
    <col min="15108" max="15108" width="9.5546875" customWidth="1"/>
    <col min="15109" max="15115" width="0" hidden="1" customWidth="1"/>
    <col min="15360" max="15360" width="12.33203125" customWidth="1"/>
    <col min="15361" max="15361" width="56.44140625" bestFit="1" customWidth="1"/>
    <col min="15362" max="15362" width="12.44140625" bestFit="1" customWidth="1"/>
    <col min="15363" max="15363" width="8.6640625" customWidth="1"/>
    <col min="15364" max="15364" width="9.5546875" customWidth="1"/>
    <col min="15365" max="15371" width="0" hidden="1" customWidth="1"/>
    <col min="15616" max="15616" width="12.33203125" customWidth="1"/>
    <col min="15617" max="15617" width="56.44140625" bestFit="1" customWidth="1"/>
    <col min="15618" max="15618" width="12.44140625" bestFit="1" customWidth="1"/>
    <col min="15619" max="15619" width="8.6640625" customWidth="1"/>
    <col min="15620" max="15620" width="9.5546875" customWidth="1"/>
    <col min="15621" max="15627" width="0" hidden="1" customWidth="1"/>
    <col min="15872" max="15872" width="12.33203125" customWidth="1"/>
    <col min="15873" max="15873" width="56.44140625" bestFit="1" customWidth="1"/>
    <col min="15874" max="15874" width="12.44140625" bestFit="1" customWidth="1"/>
    <col min="15875" max="15875" width="8.6640625" customWidth="1"/>
    <col min="15876" max="15876" width="9.5546875" customWidth="1"/>
    <col min="15877" max="15883" width="0" hidden="1" customWidth="1"/>
    <col min="16128" max="16128" width="12.33203125" customWidth="1"/>
    <col min="16129" max="16129" width="56.44140625" bestFit="1" customWidth="1"/>
    <col min="16130" max="16130" width="12.44140625" bestFit="1" customWidth="1"/>
    <col min="16131" max="16131" width="8.6640625" customWidth="1"/>
    <col min="16132" max="16132" width="9.5546875" customWidth="1"/>
    <col min="16133" max="16139" width="0" hidden="1" customWidth="1"/>
  </cols>
  <sheetData>
    <row r="1" spans="1:15" ht="23.25" customHeight="1" x14ac:dyDescent="0.25">
      <c r="A1" s="61">
        <v>1</v>
      </c>
      <c r="B1" s="61">
        <v>2</v>
      </c>
      <c r="C1" s="62">
        <v>3</v>
      </c>
      <c r="D1" s="61">
        <v>4</v>
      </c>
      <c r="E1" s="63">
        <v>5</v>
      </c>
    </row>
    <row r="2" spans="1:15" ht="22.65" customHeight="1" x14ac:dyDescent="0.25">
      <c r="A2" s="64" t="s">
        <v>0</v>
      </c>
      <c r="B2" s="65" t="s">
        <v>1</v>
      </c>
      <c r="C2" s="66">
        <v>11389.84</v>
      </c>
      <c r="D2" s="10">
        <v>6</v>
      </c>
      <c r="E2" s="67">
        <v>4.4562500000000001E-3</v>
      </c>
      <c r="F2" s="14"/>
      <c r="G2" s="14"/>
      <c r="H2" s="14"/>
      <c r="I2" s="14"/>
      <c r="J2" s="14"/>
      <c r="K2" s="14"/>
      <c r="L2" s="14"/>
      <c r="M2">
        <v>4.4562500000000001E-3</v>
      </c>
    </row>
    <row r="3" spans="1:15" ht="22.65" customHeight="1" x14ac:dyDescent="0.25">
      <c r="A3" s="64" t="s">
        <v>2</v>
      </c>
      <c r="B3" s="65" t="s">
        <v>3</v>
      </c>
      <c r="C3" s="66">
        <v>11389.84</v>
      </c>
      <c r="D3" s="10">
        <v>6</v>
      </c>
      <c r="E3" s="67">
        <v>4.4562500000000001E-3</v>
      </c>
      <c r="F3" s="14"/>
      <c r="G3" s="14"/>
      <c r="H3" s="14"/>
      <c r="I3" s="14"/>
      <c r="J3" s="14"/>
      <c r="K3" s="14"/>
      <c r="L3" s="14"/>
      <c r="M3">
        <v>4.4562500000000001E-3</v>
      </c>
      <c r="O3" s="249" t="s">
        <v>4</v>
      </c>
    </row>
    <row r="4" spans="1:15" ht="22.65" customHeight="1" x14ac:dyDescent="0.25">
      <c r="A4" s="64" t="s">
        <v>5</v>
      </c>
      <c r="B4" s="68" t="s">
        <v>6</v>
      </c>
      <c r="C4" s="66">
        <v>16108.487999999999</v>
      </c>
      <c r="D4" s="10">
        <v>6</v>
      </c>
      <c r="E4" s="67">
        <v>9.0843750000000004E-3</v>
      </c>
      <c r="F4" s="14"/>
      <c r="G4" s="14"/>
      <c r="H4" s="14"/>
      <c r="I4" s="14"/>
      <c r="J4" s="14"/>
      <c r="K4" s="14"/>
      <c r="L4" s="14"/>
      <c r="M4">
        <v>9.0843750000000004E-3</v>
      </c>
    </row>
    <row r="5" spans="1:15" ht="22.65" customHeight="1" x14ac:dyDescent="0.25">
      <c r="A5" s="64" t="s">
        <v>7</v>
      </c>
      <c r="B5" s="68" t="s">
        <v>8</v>
      </c>
      <c r="C5" s="66">
        <v>16108.487999999999</v>
      </c>
      <c r="D5" s="10">
        <v>6</v>
      </c>
      <c r="E5" s="67">
        <v>9.0843750000000004E-3</v>
      </c>
      <c r="F5" s="14"/>
      <c r="G5" s="14"/>
      <c r="H5" s="14"/>
      <c r="I5" s="14"/>
      <c r="J5" s="14"/>
      <c r="K5" s="14"/>
      <c r="L5" s="14"/>
      <c r="M5">
        <v>9.0843750000000004E-3</v>
      </c>
    </row>
    <row r="6" spans="1:15" ht="22.65" customHeight="1" x14ac:dyDescent="0.25">
      <c r="A6" s="64" t="s">
        <v>9</v>
      </c>
      <c r="B6" s="65" t="s">
        <v>10</v>
      </c>
      <c r="C6" s="66">
        <v>20339</v>
      </c>
      <c r="D6" s="10">
        <v>6</v>
      </c>
      <c r="E6" s="67">
        <v>6.84375E-3</v>
      </c>
      <c r="F6" s="14"/>
      <c r="G6" s="14"/>
      <c r="H6" s="14"/>
      <c r="I6" s="14"/>
      <c r="J6" s="14"/>
      <c r="K6" s="14"/>
      <c r="L6" s="14"/>
      <c r="M6">
        <v>6.84375E-3</v>
      </c>
    </row>
    <row r="7" spans="1:15" ht="22.65" customHeight="1" x14ac:dyDescent="0.25">
      <c r="A7" s="64" t="s">
        <v>11</v>
      </c>
      <c r="B7" s="68" t="s">
        <v>12</v>
      </c>
      <c r="C7" s="66">
        <v>20339</v>
      </c>
      <c r="D7" s="10">
        <v>6</v>
      </c>
      <c r="E7" s="67">
        <v>8.9999999999999993E-3</v>
      </c>
      <c r="F7" s="14"/>
      <c r="G7" s="14"/>
      <c r="H7" s="14"/>
      <c r="I7" s="14"/>
      <c r="J7" s="14"/>
      <c r="K7" s="14"/>
      <c r="L7" s="14"/>
      <c r="M7">
        <v>8.9999999999999993E-3</v>
      </c>
    </row>
    <row r="8" spans="1:15" ht="22.65" customHeight="1" x14ac:dyDescent="0.25">
      <c r="A8" s="64" t="s">
        <v>13</v>
      </c>
      <c r="B8" s="68" t="s">
        <v>14</v>
      </c>
      <c r="C8" s="66">
        <v>20339</v>
      </c>
      <c r="D8" s="10">
        <v>6</v>
      </c>
      <c r="E8" s="67">
        <v>8.9999999999999993E-3</v>
      </c>
      <c r="F8" s="14"/>
      <c r="G8" s="14"/>
      <c r="H8" s="14"/>
      <c r="I8" s="14"/>
      <c r="J8" s="14"/>
      <c r="K8" s="14"/>
      <c r="L8" s="14"/>
      <c r="M8">
        <v>8.9999999999999993E-3</v>
      </c>
    </row>
    <row r="9" spans="1:15" ht="22.65" customHeight="1" x14ac:dyDescent="0.25">
      <c r="A9" s="64" t="s">
        <v>15</v>
      </c>
      <c r="B9" s="68" t="s">
        <v>16</v>
      </c>
      <c r="C9" s="66">
        <v>21966.120000000003</v>
      </c>
      <c r="D9" s="10">
        <v>6</v>
      </c>
      <c r="E9" s="67">
        <v>9.4999999999999998E-3</v>
      </c>
      <c r="F9" s="14"/>
      <c r="G9" s="14"/>
      <c r="H9" s="14"/>
      <c r="I9" s="14"/>
      <c r="J9" s="14"/>
      <c r="K9" s="14"/>
      <c r="L9" s="14"/>
      <c r="M9">
        <v>9.4999999999999998E-3</v>
      </c>
    </row>
    <row r="10" spans="1:15" ht="22.65" customHeight="1" x14ac:dyDescent="0.25">
      <c r="A10" s="64" t="s">
        <v>17</v>
      </c>
      <c r="B10" s="68" t="s">
        <v>18</v>
      </c>
      <c r="C10" s="66">
        <v>21966.120000000003</v>
      </c>
      <c r="D10" s="10">
        <v>6</v>
      </c>
      <c r="E10" s="67">
        <v>9.4999999999999998E-3</v>
      </c>
      <c r="F10" s="14"/>
      <c r="G10" s="14"/>
      <c r="H10" s="14"/>
      <c r="I10" s="14"/>
      <c r="J10" s="14"/>
      <c r="K10" s="14"/>
      <c r="L10" s="14"/>
      <c r="M10">
        <v>9.4999999999999998E-3</v>
      </c>
    </row>
    <row r="11" spans="1:15" ht="22.65" customHeight="1" x14ac:dyDescent="0.25">
      <c r="A11" s="64" t="s">
        <v>19</v>
      </c>
      <c r="B11" s="65" t="s">
        <v>20</v>
      </c>
      <c r="C11" s="66">
        <v>14644.08</v>
      </c>
      <c r="D11" s="10">
        <v>6</v>
      </c>
      <c r="E11" s="67">
        <v>6.1425000000000004E-3</v>
      </c>
      <c r="F11" s="14"/>
      <c r="G11" s="14"/>
      <c r="H11" s="14"/>
      <c r="I11" s="14"/>
      <c r="J11" s="14"/>
      <c r="K11" s="14"/>
      <c r="L11" s="14"/>
      <c r="M11">
        <v>6.1425000000000004E-3</v>
      </c>
    </row>
    <row r="12" spans="1:15" ht="22.65" customHeight="1" x14ac:dyDescent="0.25">
      <c r="A12" s="64" t="s">
        <v>21</v>
      </c>
      <c r="B12" s="65" t="s">
        <v>22</v>
      </c>
      <c r="C12" s="66">
        <v>9762.7199999999993</v>
      </c>
      <c r="D12" s="10">
        <v>6</v>
      </c>
      <c r="E12" s="67">
        <v>1.70925E-3</v>
      </c>
      <c r="F12" s="14"/>
      <c r="G12" s="14"/>
      <c r="H12" s="14"/>
      <c r="I12" s="14"/>
      <c r="J12" s="14"/>
      <c r="K12" s="14"/>
      <c r="L12" s="14"/>
      <c r="M12">
        <v>1.70925E-3</v>
      </c>
    </row>
    <row r="13" spans="1:15" ht="22.65" customHeight="1" x14ac:dyDescent="0.25">
      <c r="A13" s="64" t="s">
        <v>23</v>
      </c>
      <c r="B13" s="65" t="s">
        <v>24</v>
      </c>
      <c r="C13" s="66">
        <v>9762.7199999999993</v>
      </c>
      <c r="D13" s="10">
        <v>6</v>
      </c>
      <c r="E13" s="67">
        <v>1.70925E-3</v>
      </c>
      <c r="F13" s="14"/>
      <c r="G13" s="14"/>
      <c r="H13" s="14"/>
      <c r="I13" s="14"/>
      <c r="J13" s="14"/>
      <c r="K13" s="14"/>
      <c r="L13" s="14"/>
      <c r="M13">
        <v>1.70925E-3</v>
      </c>
    </row>
    <row r="14" spans="1:15" ht="22.65" customHeight="1" x14ac:dyDescent="0.25">
      <c r="A14" s="64" t="s">
        <v>25</v>
      </c>
      <c r="B14" s="65" t="s">
        <v>26</v>
      </c>
      <c r="C14" s="66">
        <v>9762.7199999999993</v>
      </c>
      <c r="D14" s="10">
        <v>6</v>
      </c>
      <c r="E14" s="67">
        <v>1.70925E-3</v>
      </c>
      <c r="F14" s="14"/>
      <c r="G14" s="14"/>
      <c r="H14" s="14"/>
      <c r="I14" s="14"/>
      <c r="J14" s="14"/>
      <c r="K14" s="14"/>
      <c r="L14" s="14"/>
      <c r="M14">
        <v>1.70925E-3</v>
      </c>
    </row>
    <row r="15" spans="1:15" ht="22.65" customHeight="1" x14ac:dyDescent="0.25">
      <c r="A15" s="64" t="s">
        <v>27</v>
      </c>
      <c r="B15" s="65" t="s">
        <v>28</v>
      </c>
      <c r="C15" s="66">
        <v>9762.7199999999993</v>
      </c>
      <c r="D15" s="10">
        <v>6</v>
      </c>
      <c r="E15" s="67">
        <v>1.70925E-3</v>
      </c>
      <c r="F15" s="14"/>
      <c r="G15" s="14"/>
      <c r="H15" s="14"/>
      <c r="I15" s="14"/>
      <c r="J15" s="14"/>
      <c r="K15" s="14"/>
      <c r="L15" s="14"/>
      <c r="M15">
        <v>1.70925E-3</v>
      </c>
    </row>
    <row r="16" spans="1:15" ht="22.65" customHeight="1" x14ac:dyDescent="0.25">
      <c r="A16" s="10"/>
      <c r="B16" s="11" t="s">
        <v>29</v>
      </c>
      <c r="C16" s="69"/>
      <c r="D16" s="10"/>
      <c r="E16" s="67" t="e">
        <v>#N/A</v>
      </c>
      <c r="F16" s="14"/>
      <c r="G16" s="14"/>
      <c r="H16" s="14"/>
      <c r="I16" s="14"/>
      <c r="J16" s="14"/>
      <c r="K16" s="14"/>
      <c r="L16" s="14"/>
      <c r="M16" t="e">
        <v>#N/A</v>
      </c>
    </row>
    <row r="17" spans="1:13" ht="14.1" customHeight="1" x14ac:dyDescent="0.25">
      <c r="A17" s="70" t="s">
        <v>30</v>
      </c>
      <c r="B17" s="71" t="s">
        <v>31</v>
      </c>
      <c r="C17" s="72">
        <v>2359.3240000000005</v>
      </c>
      <c r="D17" s="73">
        <v>12</v>
      </c>
      <c r="E17" s="67">
        <v>7.4089999999999996E-4</v>
      </c>
      <c r="F17" s="14" t="e">
        <v>#REF!</v>
      </c>
      <c r="G17" s="14" t="e">
        <v>#REF!</v>
      </c>
      <c r="H17" s="14" t="e">
        <v>#REF!</v>
      </c>
      <c r="I17" s="14" t="e">
        <v>#REF!</v>
      </c>
      <c r="J17" s="14" t="e">
        <v>#REF!</v>
      </c>
      <c r="K17" s="14" t="e">
        <v>#REF!</v>
      </c>
      <c r="L17" s="14" t="e">
        <v>#REF!</v>
      </c>
      <c r="M17">
        <v>7.4089999999999996E-4</v>
      </c>
    </row>
    <row r="18" spans="1:13" ht="14.1" customHeight="1" x14ac:dyDescent="0.25">
      <c r="A18" s="74" t="s">
        <v>32</v>
      </c>
      <c r="B18" s="75" t="s">
        <v>33</v>
      </c>
      <c r="C18" s="76">
        <v>2522.0360000000005</v>
      </c>
      <c r="D18" s="77">
        <v>12</v>
      </c>
      <c r="E18" s="67">
        <v>1.0464999999999999E-3</v>
      </c>
      <c r="F18" s="14" t="e">
        <v>#REF!</v>
      </c>
      <c r="G18" s="14" t="e">
        <v>#REF!</v>
      </c>
      <c r="H18" s="14" t="e">
        <v>#REF!</v>
      </c>
      <c r="I18" s="14" t="e">
        <v>#REF!</v>
      </c>
      <c r="J18" s="14" t="e">
        <v>#REF!</v>
      </c>
      <c r="K18" s="14" t="e">
        <v>#REF!</v>
      </c>
      <c r="L18" s="14" t="e">
        <v>#REF!</v>
      </c>
      <c r="M18">
        <v>1.0464999999999999E-3</v>
      </c>
    </row>
    <row r="19" spans="1:13" ht="14.1" customHeight="1" x14ac:dyDescent="0.25">
      <c r="A19" s="74" t="s">
        <v>34</v>
      </c>
      <c r="B19" s="75" t="s">
        <v>35</v>
      </c>
      <c r="C19" s="76">
        <v>3091.5280000000002</v>
      </c>
      <c r="D19" s="77">
        <v>12</v>
      </c>
      <c r="E19" s="67">
        <v>1.468125E-3</v>
      </c>
      <c r="F19" s="14" t="e">
        <v>#REF!</v>
      </c>
      <c r="G19" s="14" t="e">
        <v>#REF!</v>
      </c>
      <c r="H19" s="14" t="e">
        <v>#REF!</v>
      </c>
      <c r="I19" s="14" t="e">
        <v>#REF!</v>
      </c>
      <c r="J19" s="14" t="e">
        <v>#REF!</v>
      </c>
      <c r="K19" s="14" t="e">
        <v>#REF!</v>
      </c>
      <c r="L19" s="14" t="e">
        <v>#REF!</v>
      </c>
      <c r="M19">
        <v>1.468125E-3</v>
      </c>
    </row>
    <row r="20" spans="1:13" ht="14.1" customHeight="1" x14ac:dyDescent="0.25">
      <c r="A20" s="74" t="s">
        <v>36</v>
      </c>
      <c r="B20" s="75" t="s">
        <v>37</v>
      </c>
      <c r="C20" s="76">
        <v>3579.6640000000002</v>
      </c>
      <c r="D20" s="77">
        <v>6</v>
      </c>
      <c r="E20" s="67">
        <v>2.5175000000000002E-3</v>
      </c>
      <c r="F20" s="14" t="e">
        <v>#REF!</v>
      </c>
      <c r="G20" s="14" t="e">
        <v>#REF!</v>
      </c>
      <c r="H20" s="14" t="e">
        <v>#REF!</v>
      </c>
      <c r="I20" s="14" t="e">
        <v>#REF!</v>
      </c>
      <c r="J20" s="14" t="e">
        <v>#REF!</v>
      </c>
      <c r="K20" s="14" t="e">
        <v>#REF!</v>
      </c>
      <c r="L20" s="14" t="e">
        <v>#REF!</v>
      </c>
      <c r="M20">
        <v>2.5175000000000002E-3</v>
      </c>
    </row>
    <row r="21" spans="1:13" ht="14.1" customHeight="1" x14ac:dyDescent="0.25">
      <c r="A21" s="74" t="s">
        <v>38</v>
      </c>
      <c r="B21" s="75" t="s">
        <v>39</v>
      </c>
      <c r="C21" s="76">
        <v>3538.9859999999999</v>
      </c>
      <c r="D21" s="77">
        <v>12</v>
      </c>
      <c r="E21" s="67">
        <v>1.5708E-3</v>
      </c>
      <c r="F21" s="14" t="e">
        <v>#REF!</v>
      </c>
      <c r="G21" s="14" t="e">
        <v>#REF!</v>
      </c>
      <c r="H21" s="14" t="e">
        <v>#REF!</v>
      </c>
      <c r="I21" s="14" t="e">
        <v>#REF!</v>
      </c>
      <c r="J21" s="14" t="e">
        <v>#REF!</v>
      </c>
      <c r="K21" s="14" t="e">
        <v>#REF!</v>
      </c>
      <c r="L21" s="14" t="e">
        <v>#REF!</v>
      </c>
      <c r="M21">
        <v>1.5708E-3</v>
      </c>
    </row>
    <row r="22" spans="1:13" ht="14.1" customHeight="1" x14ac:dyDescent="0.25">
      <c r="A22" s="74" t="s">
        <v>40</v>
      </c>
      <c r="B22" s="75" t="s">
        <v>41</v>
      </c>
      <c r="C22" s="76">
        <v>3416.9519999999998</v>
      </c>
      <c r="D22" s="77">
        <v>12</v>
      </c>
      <c r="E22" s="67">
        <v>1.5708E-3</v>
      </c>
      <c r="F22" s="14" t="e">
        <v>#REF!</v>
      </c>
      <c r="G22" s="14" t="e">
        <v>#REF!</v>
      </c>
      <c r="H22" s="14" t="e">
        <v>#REF!</v>
      </c>
      <c r="I22" s="14" t="e">
        <v>#REF!</v>
      </c>
      <c r="J22" s="14" t="e">
        <v>#REF!</v>
      </c>
      <c r="K22" s="14" t="e">
        <v>#REF!</v>
      </c>
      <c r="L22" s="14" t="e">
        <v>#REF!</v>
      </c>
      <c r="M22">
        <v>1.5708E-3</v>
      </c>
    </row>
    <row r="23" spans="1:13" ht="14.1" customHeight="1" x14ac:dyDescent="0.25">
      <c r="A23" s="74" t="s">
        <v>42</v>
      </c>
      <c r="B23" s="75" t="s">
        <v>43</v>
      </c>
      <c r="C23" s="76">
        <v>3742.3759999999997</v>
      </c>
      <c r="D23" s="77">
        <v>12</v>
      </c>
      <c r="E23" s="67">
        <v>2.21375E-3</v>
      </c>
      <c r="F23" s="14" t="e">
        <v>#REF!</v>
      </c>
      <c r="G23" s="14" t="e">
        <v>#REF!</v>
      </c>
      <c r="H23" s="14" t="e">
        <v>#REF!</v>
      </c>
      <c r="I23" s="14" t="e">
        <v>#REF!</v>
      </c>
      <c r="J23" s="14" t="e">
        <v>#REF!</v>
      </c>
      <c r="K23" s="14" t="e">
        <v>#REF!</v>
      </c>
      <c r="L23" s="14" t="e">
        <v>#REF!</v>
      </c>
      <c r="M23">
        <v>2.21375E-3</v>
      </c>
    </row>
    <row r="24" spans="1:13" ht="14.1" customHeight="1" x14ac:dyDescent="0.25">
      <c r="A24" s="74" t="s">
        <v>44</v>
      </c>
      <c r="B24" s="75" t="s">
        <v>45</v>
      </c>
      <c r="C24" s="76">
        <v>4393.2240000000002</v>
      </c>
      <c r="D24" s="77">
        <v>6</v>
      </c>
      <c r="E24" s="67">
        <v>3.542E-3</v>
      </c>
      <c r="F24" s="14" t="e">
        <v>#REF!</v>
      </c>
      <c r="G24" s="14" t="e">
        <v>#REF!</v>
      </c>
      <c r="H24" s="14" t="e">
        <v>#REF!</v>
      </c>
      <c r="I24" s="14" t="e">
        <v>#REF!</v>
      </c>
      <c r="J24" s="14" t="e">
        <v>#REF!</v>
      </c>
      <c r="K24" s="14" t="e">
        <v>#REF!</v>
      </c>
      <c r="L24" s="14" t="e">
        <v>#REF!</v>
      </c>
      <c r="M24">
        <v>3.542E-3</v>
      </c>
    </row>
    <row r="25" spans="1:13" ht="14.1" customHeight="1" x14ac:dyDescent="0.25">
      <c r="A25" s="74" t="s">
        <v>46</v>
      </c>
      <c r="B25" s="75" t="s">
        <v>47</v>
      </c>
      <c r="C25" s="76">
        <v>5369.4960000000001</v>
      </c>
      <c r="D25" s="77">
        <v>6</v>
      </c>
      <c r="E25" s="67">
        <v>2.843375E-3</v>
      </c>
      <c r="F25" s="14" t="e">
        <v>#REF!</v>
      </c>
      <c r="G25" s="14" t="e">
        <v>#REF!</v>
      </c>
      <c r="H25" s="14" t="e">
        <v>#REF!</v>
      </c>
      <c r="I25" s="14" t="e">
        <v>#REF!</v>
      </c>
      <c r="J25" s="14" t="e">
        <v>#REF!</v>
      </c>
      <c r="K25" s="14" t="e">
        <v>#REF!</v>
      </c>
      <c r="L25" s="14" t="e">
        <v>#REF!</v>
      </c>
      <c r="M25">
        <v>2.843375E-3</v>
      </c>
    </row>
    <row r="26" spans="1:13" ht="14.1" customHeight="1" x14ac:dyDescent="0.25">
      <c r="A26" s="74" t="s">
        <v>48</v>
      </c>
      <c r="B26" s="75" t="s">
        <v>49</v>
      </c>
      <c r="C26" s="76">
        <v>4718.648000000001</v>
      </c>
      <c r="D26" s="77">
        <v>6</v>
      </c>
      <c r="E26" s="67">
        <v>2.8436750000000004E-3</v>
      </c>
      <c r="F26" s="14" t="e">
        <v>#REF!</v>
      </c>
      <c r="G26" s="14" t="e">
        <v>#REF!</v>
      </c>
      <c r="H26" s="14" t="e">
        <v>#REF!</v>
      </c>
      <c r="I26" s="14" t="e">
        <v>#REF!</v>
      </c>
      <c r="J26" s="14" t="e">
        <v>#REF!</v>
      </c>
      <c r="K26" s="14" t="e">
        <v>#REF!</v>
      </c>
      <c r="L26" s="14" t="e">
        <v>#REF!</v>
      </c>
      <c r="M26">
        <v>2.8436750000000004E-3</v>
      </c>
    </row>
    <row r="27" spans="1:13" ht="14.1" customHeight="1" x14ac:dyDescent="0.25">
      <c r="A27" s="74" t="s">
        <v>50</v>
      </c>
      <c r="B27" s="75" t="s">
        <v>51</v>
      </c>
      <c r="C27" s="76">
        <v>5044.072000000001</v>
      </c>
      <c r="D27" s="77">
        <v>6</v>
      </c>
      <c r="E27" s="67">
        <v>4.2087499999999998E-3</v>
      </c>
      <c r="F27" s="14" t="e">
        <v>#REF!</v>
      </c>
      <c r="G27" s="14" t="e">
        <v>#REF!</v>
      </c>
      <c r="H27" s="14" t="e">
        <v>#REF!</v>
      </c>
      <c r="I27" s="14" t="e">
        <v>#REF!</v>
      </c>
      <c r="J27" s="14" t="e">
        <v>#REF!</v>
      </c>
      <c r="K27" s="14" t="e">
        <v>#REF!</v>
      </c>
      <c r="L27" s="14" t="e">
        <v>#REF!</v>
      </c>
      <c r="M27">
        <v>4.2087499999999998E-3</v>
      </c>
    </row>
    <row r="28" spans="1:13" ht="14.1" customHeight="1" x14ac:dyDescent="0.25">
      <c r="A28" s="74" t="s">
        <v>52</v>
      </c>
      <c r="B28" s="75" t="s">
        <v>53</v>
      </c>
      <c r="C28" s="76">
        <v>5369.4960000000001</v>
      </c>
      <c r="D28" s="77">
        <v>6</v>
      </c>
      <c r="E28" s="67">
        <v>5.465625E-3</v>
      </c>
      <c r="F28" s="14" t="e">
        <v>#REF!</v>
      </c>
      <c r="G28" s="14" t="e">
        <v>#REF!</v>
      </c>
      <c r="H28" s="14" t="e">
        <v>#REF!</v>
      </c>
      <c r="I28" s="14" t="e">
        <v>#REF!</v>
      </c>
      <c r="J28" s="14" t="e">
        <v>#REF!</v>
      </c>
      <c r="K28" s="14" t="e">
        <v>#REF!</v>
      </c>
      <c r="L28" s="14" t="e">
        <v>#REF!</v>
      </c>
      <c r="M28">
        <v>5.465625E-3</v>
      </c>
    </row>
    <row r="29" spans="1:13" ht="14.1" customHeight="1" thickBot="1" x14ac:dyDescent="0.3">
      <c r="A29" s="78" t="s">
        <v>54</v>
      </c>
      <c r="B29" s="79" t="s">
        <v>55</v>
      </c>
      <c r="C29" s="80">
        <v>9844.0759999999991</v>
      </c>
      <c r="D29" s="81">
        <v>6</v>
      </c>
      <c r="E29" s="67">
        <v>4.2087499999999998E-3</v>
      </c>
      <c r="F29" s="14" t="e">
        <v>#REF!</v>
      </c>
      <c r="G29" s="14" t="e">
        <v>#REF!</v>
      </c>
      <c r="H29" s="14" t="e">
        <v>#REF!</v>
      </c>
      <c r="I29" s="14" t="e">
        <v>#REF!</v>
      </c>
      <c r="J29" s="14" t="e">
        <v>#REF!</v>
      </c>
      <c r="K29" s="14" t="e">
        <v>#REF!</v>
      </c>
      <c r="L29" s="14" t="e">
        <v>#REF!</v>
      </c>
      <c r="M29">
        <v>4.2087499999999998E-3</v>
      </c>
    </row>
    <row r="30" spans="1:13" ht="14.4" thickTop="1" x14ac:dyDescent="0.25">
      <c r="A30" s="82">
        <v>1763</v>
      </c>
      <c r="B30" s="83" t="s">
        <v>31</v>
      </c>
      <c r="C30" s="76">
        <v>2359.3240000000005</v>
      </c>
      <c r="D30" s="84">
        <v>12</v>
      </c>
      <c r="E30" s="67">
        <v>7.4089999999999996E-4</v>
      </c>
      <c r="F30" s="14" t="e">
        <v>#REF!</v>
      </c>
      <c r="G30" s="14" t="e">
        <v>#REF!</v>
      </c>
      <c r="H30" s="14" t="e">
        <v>#REF!</v>
      </c>
      <c r="I30" s="14" t="e">
        <v>#REF!</v>
      </c>
      <c r="J30" s="14" t="e">
        <v>#REF!</v>
      </c>
      <c r="K30" s="14" t="e">
        <v>#REF!</v>
      </c>
      <c r="L30" s="14" t="e">
        <v>#REF!</v>
      </c>
      <c r="M30">
        <v>7.4089999999999996E-4</v>
      </c>
    </row>
    <row r="31" spans="1:13" ht="14.1" customHeight="1" x14ac:dyDescent="0.25">
      <c r="A31" s="85">
        <v>1762</v>
      </c>
      <c r="B31" s="75" t="s">
        <v>33</v>
      </c>
      <c r="C31" s="76">
        <v>2522.0360000000005</v>
      </c>
      <c r="D31" s="77">
        <v>12</v>
      </c>
      <c r="E31" s="67">
        <v>1.0464999999999999E-3</v>
      </c>
      <c r="F31" s="14" t="e">
        <v>#REF!</v>
      </c>
      <c r="G31" s="14" t="e">
        <v>#REF!</v>
      </c>
      <c r="H31" s="14" t="e">
        <v>#REF!</v>
      </c>
      <c r="I31" s="14" t="e">
        <v>#REF!</v>
      </c>
      <c r="J31" s="14" t="e">
        <v>#REF!</v>
      </c>
      <c r="K31" s="14" t="e">
        <v>#REF!</v>
      </c>
      <c r="L31" s="14" t="e">
        <v>#REF!</v>
      </c>
      <c r="M31">
        <v>1.0464999999999999E-3</v>
      </c>
    </row>
    <row r="32" spans="1:13" ht="14.1" customHeight="1" x14ac:dyDescent="0.25">
      <c r="A32" s="85">
        <v>1761</v>
      </c>
      <c r="B32" s="75" t="s">
        <v>35</v>
      </c>
      <c r="C32" s="76">
        <v>3091.5280000000002</v>
      </c>
      <c r="D32" s="77">
        <v>12</v>
      </c>
      <c r="E32" s="67">
        <v>1.468125E-3</v>
      </c>
      <c r="F32" s="14" t="e">
        <v>#REF!</v>
      </c>
      <c r="G32" s="14" t="e">
        <v>#REF!</v>
      </c>
      <c r="H32" s="14" t="e">
        <v>#REF!</v>
      </c>
      <c r="I32" s="14" t="e">
        <v>#REF!</v>
      </c>
      <c r="J32" s="14" t="e">
        <v>#REF!</v>
      </c>
      <c r="K32" s="14" t="e">
        <v>#REF!</v>
      </c>
      <c r="L32" s="14" t="e">
        <v>#REF!</v>
      </c>
      <c r="M32">
        <v>1.468125E-3</v>
      </c>
    </row>
    <row r="33" spans="1:13" ht="14.1" customHeight="1" x14ac:dyDescent="0.25">
      <c r="A33" s="85">
        <v>1760</v>
      </c>
      <c r="B33" s="75" t="s">
        <v>37</v>
      </c>
      <c r="C33" s="76">
        <v>3579.6640000000002</v>
      </c>
      <c r="D33" s="77">
        <v>6</v>
      </c>
      <c r="E33" s="67">
        <v>2.5175000000000002E-3</v>
      </c>
      <c r="F33" s="14" t="e">
        <v>#REF!</v>
      </c>
      <c r="G33" s="14" t="e">
        <v>#REF!</v>
      </c>
      <c r="H33" s="14" t="e">
        <v>#REF!</v>
      </c>
      <c r="I33" s="14" t="e">
        <v>#REF!</v>
      </c>
      <c r="J33" s="14" t="e">
        <v>#REF!</v>
      </c>
      <c r="K33" s="14" t="e">
        <v>#REF!</v>
      </c>
      <c r="L33" s="14" t="e">
        <v>#REF!</v>
      </c>
      <c r="M33">
        <v>2.5175000000000002E-3</v>
      </c>
    </row>
    <row r="34" spans="1:13" ht="14.1" customHeight="1" x14ac:dyDescent="0.25">
      <c r="A34" s="85">
        <v>1753</v>
      </c>
      <c r="B34" s="75" t="s">
        <v>39</v>
      </c>
      <c r="C34" s="76">
        <v>3538.9859999999999</v>
      </c>
      <c r="D34" s="77">
        <v>12</v>
      </c>
      <c r="E34" s="67">
        <v>1.5708E-3</v>
      </c>
      <c r="F34" s="14"/>
      <c r="G34" s="14"/>
      <c r="H34" s="14"/>
      <c r="I34" s="14"/>
      <c r="J34" s="14"/>
      <c r="K34" s="14"/>
      <c r="L34" s="14"/>
      <c r="M34">
        <v>1.5708E-3</v>
      </c>
    </row>
    <row r="35" spans="1:13" ht="14.1" customHeight="1" x14ac:dyDescent="0.25">
      <c r="A35" s="85">
        <v>1752</v>
      </c>
      <c r="B35" s="75" t="s">
        <v>41</v>
      </c>
      <c r="C35" s="76">
        <v>3416.9519999999998</v>
      </c>
      <c r="D35" s="73">
        <v>12</v>
      </c>
      <c r="E35" s="67">
        <v>1.5708E-3</v>
      </c>
      <c r="F35" s="14" t="e">
        <v>#REF!</v>
      </c>
      <c r="G35" s="14" t="e">
        <v>#REF!</v>
      </c>
      <c r="H35" s="14" t="e">
        <v>#REF!</v>
      </c>
      <c r="I35" s="14" t="e">
        <v>#REF!</v>
      </c>
      <c r="J35" s="14" t="e">
        <v>#REF!</v>
      </c>
      <c r="K35" s="14" t="e">
        <v>#REF!</v>
      </c>
      <c r="L35" s="14" t="e">
        <v>#REF!</v>
      </c>
      <c r="M35">
        <v>1.5708E-3</v>
      </c>
    </row>
    <row r="36" spans="1:13" ht="14.1" customHeight="1" x14ac:dyDescent="0.25">
      <c r="A36" s="85">
        <v>1751</v>
      </c>
      <c r="B36" s="75" t="s">
        <v>43</v>
      </c>
      <c r="C36" s="76">
        <v>3742.3759999999997</v>
      </c>
      <c r="D36" s="77">
        <v>12</v>
      </c>
      <c r="E36" s="67">
        <v>2.21375E-3</v>
      </c>
      <c r="F36" s="14" t="e">
        <v>#REF!</v>
      </c>
      <c r="G36" s="14" t="e">
        <v>#REF!</v>
      </c>
      <c r="H36" s="14" t="e">
        <v>#REF!</v>
      </c>
      <c r="I36" s="14" t="e">
        <v>#REF!</v>
      </c>
      <c r="J36" s="14" t="e">
        <v>#REF!</v>
      </c>
      <c r="K36" s="14" t="e">
        <v>#REF!</v>
      </c>
      <c r="L36" s="14" t="e">
        <v>#REF!</v>
      </c>
      <c r="M36">
        <v>2.21375E-3</v>
      </c>
    </row>
    <row r="37" spans="1:13" ht="14.1" customHeight="1" x14ac:dyDescent="0.25">
      <c r="A37" s="85">
        <v>1750</v>
      </c>
      <c r="B37" s="75" t="s">
        <v>45</v>
      </c>
      <c r="C37" s="76">
        <v>4393.2240000000002</v>
      </c>
      <c r="D37" s="77">
        <v>6</v>
      </c>
      <c r="E37" s="67">
        <v>3.542E-3</v>
      </c>
      <c r="F37" s="14" t="e">
        <v>#REF!</v>
      </c>
      <c r="G37" s="14" t="e">
        <v>#REF!</v>
      </c>
      <c r="H37" s="14" t="e">
        <v>#REF!</v>
      </c>
      <c r="I37" s="14" t="e">
        <v>#REF!</v>
      </c>
      <c r="J37" s="14" t="e">
        <v>#REF!</v>
      </c>
      <c r="K37" s="14" t="e">
        <v>#REF!</v>
      </c>
      <c r="L37" s="14" t="e">
        <v>#REF!</v>
      </c>
      <c r="M37">
        <v>3.542E-3</v>
      </c>
    </row>
    <row r="38" spans="1:13" ht="14.1" customHeight="1" x14ac:dyDescent="0.25">
      <c r="A38" s="85">
        <v>1742</v>
      </c>
      <c r="B38" s="75" t="s">
        <v>49</v>
      </c>
      <c r="C38" s="76">
        <v>4718.648000000001</v>
      </c>
      <c r="D38" s="77">
        <v>6</v>
      </c>
      <c r="E38" s="67">
        <v>2.8436750000000004E-3</v>
      </c>
      <c r="F38" s="14" t="e">
        <v>#REF!</v>
      </c>
      <c r="G38" s="14" t="e">
        <v>#REF!</v>
      </c>
      <c r="H38" s="14" t="e">
        <v>#REF!</v>
      </c>
      <c r="I38" s="14" t="e">
        <v>#REF!</v>
      </c>
      <c r="J38" s="14" t="e">
        <v>#REF!</v>
      </c>
      <c r="K38" s="14" t="e">
        <v>#REF!</v>
      </c>
      <c r="L38" s="14" t="e">
        <v>#REF!</v>
      </c>
      <c r="M38">
        <v>2.8436750000000004E-3</v>
      </c>
    </row>
    <row r="39" spans="1:13" ht="14.1" customHeight="1" x14ac:dyDescent="0.25">
      <c r="A39" s="85" t="s">
        <v>56</v>
      </c>
      <c r="B39" s="75" t="s">
        <v>47</v>
      </c>
      <c r="C39" s="76">
        <v>5369.4960000000001</v>
      </c>
      <c r="D39" s="77">
        <v>6</v>
      </c>
      <c r="E39" s="67">
        <v>2.843375E-3</v>
      </c>
      <c r="F39" s="14" t="e">
        <v>#REF!</v>
      </c>
      <c r="G39" s="14" t="e">
        <v>#REF!</v>
      </c>
      <c r="H39" s="14" t="e">
        <v>#REF!</v>
      </c>
      <c r="I39" s="14" t="e">
        <v>#REF!</v>
      </c>
      <c r="J39" s="14" t="e">
        <v>#REF!</v>
      </c>
      <c r="K39" s="14" t="e">
        <v>#REF!</v>
      </c>
      <c r="L39" s="14" t="e">
        <v>#REF!</v>
      </c>
      <c r="M39" s="85">
        <v>2.843375E-3</v>
      </c>
    </row>
    <row r="40" spans="1:13" ht="16.5" customHeight="1" x14ac:dyDescent="0.25">
      <c r="A40" s="85">
        <v>1741</v>
      </c>
      <c r="B40" s="75" t="s">
        <v>51</v>
      </c>
      <c r="C40" s="76">
        <v>5044.072000000001</v>
      </c>
      <c r="D40" s="77">
        <v>6</v>
      </c>
      <c r="E40" s="67">
        <v>4.2087499999999998E-3</v>
      </c>
      <c r="F40" s="14" t="e">
        <v>#REF!</v>
      </c>
      <c r="G40" s="14" t="e">
        <v>#REF!</v>
      </c>
      <c r="H40" s="14" t="e">
        <v>#REF!</v>
      </c>
      <c r="I40" s="14" t="e">
        <v>#REF!</v>
      </c>
      <c r="J40" s="14" t="e">
        <v>#REF!</v>
      </c>
      <c r="K40" s="14" t="e">
        <v>#REF!</v>
      </c>
      <c r="L40" s="14" t="e">
        <v>#REF!</v>
      </c>
      <c r="M40" s="85">
        <v>4.2087499999999998E-3</v>
      </c>
    </row>
    <row r="41" spans="1:13" ht="14.1" customHeight="1" x14ac:dyDescent="0.25">
      <c r="A41" s="85">
        <v>1740</v>
      </c>
      <c r="B41" s="75" t="s">
        <v>53</v>
      </c>
      <c r="C41" s="76">
        <v>5369.4960000000001</v>
      </c>
      <c r="D41" s="77">
        <v>6</v>
      </c>
      <c r="E41" s="67">
        <v>5.465625E-3</v>
      </c>
      <c r="F41" s="14" t="e">
        <v>#REF!</v>
      </c>
      <c r="G41" s="14" t="e">
        <v>#REF!</v>
      </c>
      <c r="H41" s="14" t="e">
        <v>#REF!</v>
      </c>
      <c r="I41" s="14" t="e">
        <v>#REF!</v>
      </c>
      <c r="J41" s="14" t="e">
        <v>#REF!</v>
      </c>
      <c r="K41" s="14" t="e">
        <v>#REF!</v>
      </c>
      <c r="L41" s="14" t="e">
        <v>#REF!</v>
      </c>
      <c r="M41" s="85">
        <v>5.465625E-3</v>
      </c>
    </row>
    <row r="42" spans="1:13" ht="14.1" customHeight="1" x14ac:dyDescent="0.25">
      <c r="A42" s="85" t="s">
        <v>57</v>
      </c>
      <c r="B42" s="75" t="s">
        <v>55</v>
      </c>
      <c r="C42" s="76">
        <v>9844.0759999999991</v>
      </c>
      <c r="D42" s="77">
        <v>6</v>
      </c>
      <c r="E42" s="67">
        <v>4.2087499999999998E-3</v>
      </c>
      <c r="F42" s="14" t="e">
        <v>#REF!</v>
      </c>
      <c r="G42" s="14" t="e">
        <v>#REF!</v>
      </c>
      <c r="H42" s="14" t="e">
        <v>#REF!</v>
      </c>
      <c r="I42" s="14" t="e">
        <v>#REF!</v>
      </c>
      <c r="J42" s="14" t="e">
        <v>#REF!</v>
      </c>
      <c r="K42" s="14" t="e">
        <v>#REF!</v>
      </c>
      <c r="L42" s="14" t="e">
        <v>#REF!</v>
      </c>
      <c r="M42" s="85">
        <v>4.2087499999999998E-3</v>
      </c>
    </row>
    <row r="43" spans="1:13" ht="14.1" customHeight="1" x14ac:dyDescent="0.25">
      <c r="A43" s="86"/>
      <c r="B43" s="87" t="s">
        <v>29</v>
      </c>
      <c r="C43" s="88"/>
      <c r="D43" s="89"/>
      <c r="F43" s="14" t="e">
        <v>#REF!</v>
      </c>
      <c r="G43" s="14" t="e">
        <v>#REF!</v>
      </c>
      <c r="H43" s="14" t="e">
        <v>#REF!</v>
      </c>
      <c r="I43" s="14" t="e">
        <v>#REF!</v>
      </c>
      <c r="J43" s="14" t="e">
        <v>#REF!</v>
      </c>
      <c r="K43" s="14" t="e">
        <v>#REF!</v>
      </c>
      <c r="L43" s="14" t="e">
        <v>#REF!</v>
      </c>
    </row>
    <row r="44" spans="1:13" ht="14.1" customHeight="1" x14ac:dyDescent="0.25">
      <c r="A44" s="90" t="s">
        <v>58</v>
      </c>
      <c r="B44" s="91" t="s">
        <v>29</v>
      </c>
      <c r="C44" s="92" t="s">
        <v>59</v>
      </c>
      <c r="D44" s="93" t="s">
        <v>60</v>
      </c>
      <c r="F44" s="14" t="e">
        <v>#REF!</v>
      </c>
      <c r="G44" s="14" t="e">
        <v>#REF!</v>
      </c>
      <c r="H44" s="14" t="e">
        <v>#REF!</v>
      </c>
      <c r="I44" s="14" t="e">
        <v>#REF!</v>
      </c>
      <c r="J44" s="14" t="e">
        <v>#REF!</v>
      </c>
      <c r="K44" s="14" t="e">
        <v>#REF!</v>
      </c>
      <c r="L44" s="14" t="e">
        <v>#REF!</v>
      </c>
    </row>
    <row r="45" spans="1:13" ht="14.1" customHeight="1" x14ac:dyDescent="0.25">
      <c r="A45" s="94">
        <v>105</v>
      </c>
      <c r="B45" s="38" t="s">
        <v>61</v>
      </c>
      <c r="C45" s="95">
        <v>894.91600000000005</v>
      </c>
      <c r="D45" s="39">
        <v>24</v>
      </c>
      <c r="E45" s="67">
        <v>2.6643799999999997E-4</v>
      </c>
      <c r="F45" s="14" t="e">
        <v>#REF!</v>
      </c>
      <c r="G45" s="14" t="e">
        <v>#REF!</v>
      </c>
      <c r="H45" s="14" t="e">
        <v>#REF!</v>
      </c>
      <c r="I45" s="14" t="e">
        <v>#REF!</v>
      </c>
      <c r="J45" s="14" t="e">
        <v>#REF!</v>
      </c>
      <c r="K45" s="14" t="e">
        <v>#REF!</v>
      </c>
      <c r="L45" s="14" t="e">
        <v>#REF!</v>
      </c>
      <c r="M45">
        <v>2.6643799999999997E-4</v>
      </c>
    </row>
    <row r="46" spans="1:13" ht="14.1" customHeight="1" x14ac:dyDescent="0.25">
      <c r="A46" s="94">
        <v>106</v>
      </c>
      <c r="B46" s="38" t="s">
        <v>62</v>
      </c>
      <c r="C46" s="95">
        <v>1016.95</v>
      </c>
      <c r="D46" s="39">
        <v>12</v>
      </c>
      <c r="E46" s="67">
        <v>3.325E-4</v>
      </c>
      <c r="F46" s="14"/>
      <c r="G46" s="14"/>
      <c r="H46" s="14"/>
      <c r="I46" s="14"/>
      <c r="J46" s="14"/>
      <c r="K46" s="14"/>
      <c r="L46" s="14"/>
      <c r="M46">
        <v>3.325E-4</v>
      </c>
    </row>
    <row r="47" spans="1:13" ht="14.1" customHeight="1" x14ac:dyDescent="0.25">
      <c r="A47" s="94">
        <v>107</v>
      </c>
      <c r="B47" s="38" t="s">
        <v>63</v>
      </c>
      <c r="C47" s="95">
        <v>1106.4415999999999</v>
      </c>
      <c r="D47" s="39">
        <v>12</v>
      </c>
      <c r="E47" s="67">
        <v>4.3225000000000002E-4</v>
      </c>
      <c r="F47" s="14"/>
      <c r="G47" s="14"/>
      <c r="H47" s="14"/>
      <c r="I47" s="14"/>
      <c r="J47" s="14"/>
      <c r="K47" s="14"/>
      <c r="L47" s="14"/>
      <c r="M47">
        <v>4.3225000000000002E-4</v>
      </c>
    </row>
    <row r="48" spans="1:13" ht="14.1" customHeight="1" x14ac:dyDescent="0.25">
      <c r="A48" s="94">
        <v>110</v>
      </c>
      <c r="B48" s="38" t="s">
        <v>64</v>
      </c>
      <c r="C48" s="95">
        <v>1448.1368</v>
      </c>
      <c r="D48" s="39">
        <v>12</v>
      </c>
      <c r="E48" s="67">
        <v>4.9687500000000003E-4</v>
      </c>
      <c r="F48" s="14"/>
      <c r="G48" s="14"/>
      <c r="H48" s="14"/>
      <c r="I48" s="14"/>
      <c r="J48" s="14"/>
      <c r="K48" s="14"/>
      <c r="L48" s="14"/>
      <c r="M48">
        <v>4.9687500000000003E-4</v>
      </c>
    </row>
    <row r="49" spans="1:13" ht="14.1" customHeight="1" x14ac:dyDescent="0.25">
      <c r="A49" s="94">
        <v>115</v>
      </c>
      <c r="B49" s="38" t="s">
        <v>65</v>
      </c>
      <c r="C49" s="95">
        <v>1627.1200000000001</v>
      </c>
      <c r="D49" s="39">
        <v>12</v>
      </c>
      <c r="E49" s="67">
        <v>7.2173199999999999E-4</v>
      </c>
      <c r="F49" s="14"/>
      <c r="G49" s="14"/>
      <c r="H49" s="14"/>
      <c r="I49" s="14"/>
      <c r="J49" s="14"/>
      <c r="K49" s="14"/>
      <c r="L49" s="14"/>
      <c r="M49">
        <v>7.2173199999999999E-4</v>
      </c>
    </row>
    <row r="50" spans="1:13" ht="14.1" customHeight="1" x14ac:dyDescent="0.25">
      <c r="A50" s="94">
        <v>120</v>
      </c>
      <c r="B50" s="38" t="s">
        <v>66</v>
      </c>
      <c r="C50" s="95">
        <v>813.56000000000006</v>
      </c>
      <c r="D50" s="39">
        <v>24</v>
      </c>
      <c r="E50" s="67">
        <v>1.8502699999999999E-4</v>
      </c>
      <c r="F50" s="14"/>
      <c r="G50" s="14"/>
      <c r="H50" s="14"/>
      <c r="I50" s="14"/>
      <c r="J50" s="14"/>
      <c r="K50" s="14"/>
      <c r="L50" s="14"/>
      <c r="M50">
        <v>1.8502699999999999E-4</v>
      </c>
    </row>
    <row r="51" spans="1:13" ht="14.1" customHeight="1" x14ac:dyDescent="0.25">
      <c r="A51" s="96">
        <v>122</v>
      </c>
      <c r="B51" s="97" t="s">
        <v>67</v>
      </c>
      <c r="C51" s="98">
        <v>1390</v>
      </c>
      <c r="D51" s="39">
        <v>12</v>
      </c>
      <c r="E51" s="67">
        <v>2.9468300000000001E-4</v>
      </c>
      <c r="F51" s="14"/>
      <c r="G51" s="14"/>
      <c r="H51" s="14"/>
      <c r="I51" s="14"/>
      <c r="J51" s="14"/>
      <c r="K51" s="14"/>
      <c r="L51" s="14"/>
      <c r="M51">
        <v>2.9468300000000001E-4</v>
      </c>
    </row>
    <row r="52" spans="1:13" ht="14.1" customHeight="1" x14ac:dyDescent="0.25">
      <c r="A52" s="96">
        <v>124</v>
      </c>
      <c r="B52" s="97" t="s">
        <v>68</v>
      </c>
      <c r="C52" s="98">
        <v>1420</v>
      </c>
      <c r="D52" s="39">
        <v>12</v>
      </c>
      <c r="E52" s="67">
        <v>4.3399999999999998E-4</v>
      </c>
      <c r="F52" s="14"/>
      <c r="G52" s="14"/>
      <c r="H52" s="14"/>
      <c r="I52" s="14"/>
      <c r="J52" s="14"/>
      <c r="K52" s="14"/>
      <c r="L52" s="14"/>
      <c r="M52">
        <v>4.3399999999999998E-4</v>
      </c>
    </row>
    <row r="53" spans="1:13" ht="14.1" customHeight="1" x14ac:dyDescent="0.25">
      <c r="A53" s="96">
        <v>125</v>
      </c>
      <c r="B53" s="97" t="s">
        <v>69</v>
      </c>
      <c r="C53" s="98">
        <v>1420</v>
      </c>
      <c r="D53" s="39">
        <v>12</v>
      </c>
      <c r="E53" s="67">
        <v>4.7016699999999996E-4</v>
      </c>
      <c r="F53" s="14"/>
      <c r="G53" s="14"/>
      <c r="H53" s="14"/>
      <c r="I53" s="14"/>
      <c r="J53" s="14"/>
      <c r="K53" s="14"/>
      <c r="L53" s="14"/>
      <c r="M53">
        <v>4.7016699999999996E-4</v>
      </c>
    </row>
    <row r="54" spans="1:13" ht="14.1" customHeight="1" x14ac:dyDescent="0.25">
      <c r="A54" s="94" t="s">
        <v>70</v>
      </c>
      <c r="B54" s="38" t="s">
        <v>71</v>
      </c>
      <c r="C54" s="99">
        <v>2359.3240000000005</v>
      </c>
      <c r="D54" s="39">
        <v>12</v>
      </c>
      <c r="E54" s="67">
        <v>1.657333E-3</v>
      </c>
      <c r="F54" s="14"/>
      <c r="G54" s="14"/>
      <c r="H54" s="14"/>
      <c r="I54" s="14"/>
      <c r="J54" s="14"/>
      <c r="K54" s="14"/>
      <c r="L54" s="14"/>
      <c r="M54">
        <v>1.657333E-3</v>
      </c>
    </row>
    <row r="55" spans="1:13" ht="14.1" customHeight="1" x14ac:dyDescent="0.25">
      <c r="A55" s="94">
        <v>130</v>
      </c>
      <c r="B55" s="38" t="s">
        <v>72</v>
      </c>
      <c r="C55" s="95">
        <v>1920.0016000000001</v>
      </c>
      <c r="D55" s="39">
        <v>12</v>
      </c>
      <c r="E55" s="67">
        <v>9.0950800000000006E-4</v>
      </c>
      <c r="F55" s="14"/>
      <c r="G55" s="14"/>
      <c r="H55" s="14"/>
      <c r="I55" s="14"/>
      <c r="J55" s="14"/>
      <c r="K55" s="14"/>
      <c r="L55" s="14"/>
      <c r="M55">
        <v>9.0950800000000006E-4</v>
      </c>
    </row>
    <row r="56" spans="1:13" ht="14.1" customHeight="1" x14ac:dyDescent="0.25">
      <c r="A56" s="94" t="s">
        <v>73</v>
      </c>
      <c r="B56" s="100" t="s">
        <v>74</v>
      </c>
      <c r="C56" s="95">
        <v>3978.3084000000008</v>
      </c>
      <c r="D56" s="39">
        <v>6</v>
      </c>
      <c r="E56" s="67">
        <v>3.2188329999999999E-3</v>
      </c>
      <c r="F56" s="14"/>
      <c r="G56" s="14"/>
      <c r="H56" s="14"/>
      <c r="I56" s="14"/>
      <c r="J56" s="14"/>
      <c r="K56" s="14"/>
      <c r="L56" s="14"/>
      <c r="M56">
        <v>3.2188329999999999E-3</v>
      </c>
    </row>
    <row r="57" spans="1:13" ht="14.1" customHeight="1" x14ac:dyDescent="0.25">
      <c r="A57" s="94">
        <v>146</v>
      </c>
      <c r="B57" s="38" t="s">
        <v>75</v>
      </c>
      <c r="C57" s="95">
        <v>1383.0520000000001</v>
      </c>
      <c r="D57" s="39">
        <v>12</v>
      </c>
      <c r="E57" s="67">
        <v>5.2757800000000001E-4</v>
      </c>
      <c r="F57" s="14"/>
      <c r="G57" s="14"/>
      <c r="H57" s="14"/>
      <c r="I57" s="14"/>
      <c r="J57" s="14"/>
      <c r="K57" s="14"/>
      <c r="L57" s="14"/>
      <c r="M57">
        <v>5.2757800000000001E-4</v>
      </c>
    </row>
    <row r="58" spans="1:13" ht="14.1" customHeight="1" x14ac:dyDescent="0.25">
      <c r="A58" s="94">
        <v>147</v>
      </c>
      <c r="B58" s="38" t="s">
        <v>76</v>
      </c>
      <c r="C58" s="95">
        <v>1635.2556</v>
      </c>
      <c r="D58" s="39">
        <v>12</v>
      </c>
      <c r="E58" s="67">
        <v>9.4359799999999992E-4</v>
      </c>
      <c r="F58" s="14"/>
      <c r="G58" s="14"/>
      <c r="H58" s="14"/>
      <c r="I58" s="14"/>
      <c r="J58" s="14"/>
      <c r="K58" s="14"/>
      <c r="L58" s="14"/>
      <c r="M58">
        <v>9.4359799999999992E-4</v>
      </c>
    </row>
    <row r="59" spans="1:13" ht="14.1" customHeight="1" x14ac:dyDescent="0.25">
      <c r="A59" s="94">
        <v>160</v>
      </c>
      <c r="B59" s="38" t="s">
        <v>77</v>
      </c>
      <c r="C59" s="95">
        <v>1098.306</v>
      </c>
      <c r="D59" s="39">
        <v>24</v>
      </c>
      <c r="E59" s="67">
        <v>2.5707100000000005E-4</v>
      </c>
      <c r="F59" s="14"/>
      <c r="G59" s="14"/>
      <c r="H59" s="14"/>
      <c r="I59" s="14"/>
      <c r="J59" s="14"/>
      <c r="K59" s="14"/>
      <c r="L59" s="14"/>
      <c r="M59">
        <v>2.5707100000000005E-4</v>
      </c>
    </row>
    <row r="60" spans="1:13" ht="14.1" customHeight="1" x14ac:dyDescent="0.25">
      <c r="A60" s="94">
        <v>165</v>
      </c>
      <c r="B60" s="38" t="s">
        <v>78</v>
      </c>
      <c r="C60" s="95">
        <v>1285.4248</v>
      </c>
      <c r="D60" s="39">
        <v>12</v>
      </c>
      <c r="E60" s="67">
        <v>5.5424300000000005E-4</v>
      </c>
      <c r="F60" s="14"/>
      <c r="G60" s="14"/>
      <c r="H60" s="14"/>
      <c r="I60" s="14"/>
      <c r="J60" s="14"/>
      <c r="K60" s="14"/>
      <c r="L60" s="14"/>
      <c r="M60">
        <v>5.5424300000000005E-4</v>
      </c>
    </row>
    <row r="61" spans="1:13" ht="14.1" customHeight="1" x14ac:dyDescent="0.25">
      <c r="A61" s="94">
        <v>170</v>
      </c>
      <c r="B61" s="38" t="s">
        <v>79</v>
      </c>
      <c r="C61" s="95">
        <v>2107.1204000000002</v>
      </c>
      <c r="D61" s="39">
        <v>12</v>
      </c>
      <c r="E61" s="67">
        <v>1.0970999999999999E-3</v>
      </c>
      <c r="F61" s="14"/>
      <c r="G61" s="14"/>
      <c r="H61" s="14"/>
      <c r="I61" s="14"/>
      <c r="J61" s="14"/>
      <c r="K61" s="14"/>
      <c r="L61" s="14"/>
      <c r="M61">
        <v>1.0970999999999999E-3</v>
      </c>
    </row>
    <row r="62" spans="1:13" ht="14.1" customHeight="1" x14ac:dyDescent="0.25">
      <c r="A62" s="94" t="s">
        <v>80</v>
      </c>
      <c r="B62" s="38" t="s">
        <v>81</v>
      </c>
      <c r="C62" s="95">
        <v>4328.1391999999996</v>
      </c>
      <c r="D62" s="39">
        <v>6</v>
      </c>
      <c r="E62" s="67">
        <v>2.9835E-3</v>
      </c>
      <c r="F62" s="14"/>
      <c r="G62" s="14"/>
      <c r="H62" s="14"/>
      <c r="I62" s="14"/>
      <c r="J62" s="14"/>
      <c r="K62" s="14"/>
      <c r="L62" s="14"/>
      <c r="M62">
        <v>2.9835E-3</v>
      </c>
    </row>
    <row r="63" spans="1:13" ht="14.1" customHeight="1" x14ac:dyDescent="0.25">
      <c r="A63" s="94">
        <v>172</v>
      </c>
      <c r="B63" s="38" t="s">
        <v>82</v>
      </c>
      <c r="C63" s="95">
        <v>2115.2559999999999</v>
      </c>
      <c r="D63" s="39">
        <v>12</v>
      </c>
      <c r="E63" s="67">
        <v>1.629375E-3</v>
      </c>
      <c r="F63" s="14"/>
      <c r="G63" s="14"/>
      <c r="H63" s="14"/>
      <c r="I63" s="14"/>
      <c r="J63" s="14"/>
      <c r="K63" s="14"/>
      <c r="L63" s="14"/>
      <c r="M63">
        <v>1.629375E-3</v>
      </c>
    </row>
    <row r="64" spans="1:13" ht="14.1" customHeight="1" x14ac:dyDescent="0.25">
      <c r="A64" s="94">
        <v>180</v>
      </c>
      <c r="B64" s="38" t="s">
        <v>83</v>
      </c>
      <c r="C64" s="95">
        <v>1130.8483999999999</v>
      </c>
      <c r="D64" s="39">
        <v>12</v>
      </c>
      <c r="E64" s="67">
        <v>3.6975000000000002E-4</v>
      </c>
      <c r="F64" s="14" t="e">
        <v>#REF!</v>
      </c>
      <c r="G64" s="14" t="e">
        <v>#REF!</v>
      </c>
      <c r="H64" s="14" t="e">
        <v>#REF!</v>
      </c>
      <c r="I64" s="14" t="e">
        <v>#REF!</v>
      </c>
      <c r="J64" s="14" t="e">
        <v>#REF!</v>
      </c>
      <c r="K64" s="14" t="e">
        <v>#REF!</v>
      </c>
      <c r="L64" s="14" t="e">
        <v>#REF!</v>
      </c>
      <c r="M64">
        <v>3.6975000000000002E-4</v>
      </c>
    </row>
    <row r="65" spans="1:13" ht="13.65" customHeight="1" x14ac:dyDescent="0.25">
      <c r="A65" s="94">
        <v>185</v>
      </c>
      <c r="B65" s="38" t="s">
        <v>84</v>
      </c>
      <c r="C65" s="95">
        <v>1537.6283999999998</v>
      </c>
      <c r="D65" s="39">
        <v>12</v>
      </c>
      <c r="E65" s="67">
        <v>6.186369999999999E-4</v>
      </c>
      <c r="F65" s="14" t="e">
        <v>#REF!</v>
      </c>
      <c r="G65" s="14" t="e">
        <v>#REF!</v>
      </c>
      <c r="H65" s="14" t="e">
        <v>#REF!</v>
      </c>
      <c r="I65" s="14" t="e">
        <v>#REF!</v>
      </c>
      <c r="J65" s="14" t="e">
        <v>#REF!</v>
      </c>
      <c r="K65" s="14" t="e">
        <v>#REF!</v>
      </c>
      <c r="L65" s="14" t="e">
        <v>#REF!</v>
      </c>
      <c r="M65">
        <v>6.186369999999999E-4</v>
      </c>
    </row>
    <row r="66" spans="1:13" ht="14.1" customHeight="1" x14ac:dyDescent="0.25">
      <c r="A66" s="94">
        <v>190</v>
      </c>
      <c r="B66" s="38" t="s">
        <v>85</v>
      </c>
      <c r="C66" s="95">
        <v>2448.8155999999999</v>
      </c>
      <c r="D66" s="39">
        <v>12</v>
      </c>
      <c r="E66" s="67">
        <v>1.3439999999999999E-3</v>
      </c>
      <c r="F66" s="14" t="e">
        <v>#REF!</v>
      </c>
      <c r="G66" s="14" t="e">
        <v>#REF!</v>
      </c>
      <c r="H66" s="14" t="e">
        <v>#REF!</v>
      </c>
      <c r="I66" s="14" t="e">
        <v>#REF!</v>
      </c>
      <c r="J66" s="14" t="e">
        <v>#REF!</v>
      </c>
      <c r="K66" s="14" t="e">
        <v>#REF!</v>
      </c>
      <c r="L66" s="14" t="e">
        <v>#REF!</v>
      </c>
      <c r="M66">
        <v>1.3439999999999999E-3</v>
      </c>
    </row>
    <row r="67" spans="1:13" ht="14.1" customHeight="1" x14ac:dyDescent="0.25">
      <c r="A67" s="94" t="s">
        <v>86</v>
      </c>
      <c r="B67" s="38" t="s">
        <v>87</v>
      </c>
      <c r="C67" s="95">
        <v>4873.2244000000001</v>
      </c>
      <c r="D67" s="39">
        <v>6</v>
      </c>
      <c r="E67" s="67">
        <v>5.1749999999999999E-3</v>
      </c>
      <c r="F67" s="14" t="e">
        <v>#REF!</v>
      </c>
      <c r="G67" s="14" t="e">
        <v>#REF!</v>
      </c>
      <c r="H67" s="14" t="e">
        <v>#REF!</v>
      </c>
      <c r="I67" s="14" t="e">
        <v>#REF!</v>
      </c>
      <c r="J67" s="14" t="e">
        <v>#REF!</v>
      </c>
      <c r="K67" s="14" t="e">
        <v>#REF!</v>
      </c>
      <c r="L67" s="14" t="e">
        <v>#REF!</v>
      </c>
      <c r="M67">
        <v>5.1749999999999999E-3</v>
      </c>
    </row>
    <row r="68" spans="1:13" ht="14.1" customHeight="1" x14ac:dyDescent="0.25">
      <c r="A68" s="101"/>
      <c r="B68" s="102" t="s">
        <v>88</v>
      </c>
      <c r="C68" s="103"/>
      <c r="D68" s="104"/>
      <c r="F68" s="14" t="e">
        <v>#REF!</v>
      </c>
      <c r="G68" s="14" t="e">
        <v>#REF!</v>
      </c>
      <c r="H68" s="14" t="e">
        <v>#REF!</v>
      </c>
      <c r="I68" s="14" t="e">
        <v>#REF!</v>
      </c>
      <c r="J68" s="14" t="e">
        <v>#REF!</v>
      </c>
      <c r="K68" s="14" t="e">
        <v>#REF!</v>
      </c>
      <c r="L68" s="14" t="e">
        <v>#REF!</v>
      </c>
    </row>
    <row r="69" spans="1:13" ht="14.1" customHeight="1" x14ac:dyDescent="0.25">
      <c r="A69" s="94" t="s">
        <v>89</v>
      </c>
      <c r="B69" s="105" t="s">
        <v>90</v>
      </c>
      <c r="C69" s="106">
        <v>6427.1239999999998</v>
      </c>
      <c r="D69" s="107">
        <v>12</v>
      </c>
      <c r="E69" s="67">
        <v>1.9120000000000001E-3</v>
      </c>
      <c r="F69" s="14" t="e">
        <v>#REF!</v>
      </c>
      <c r="G69" s="14" t="e">
        <v>#REF!</v>
      </c>
      <c r="H69" s="14" t="e">
        <v>#REF!</v>
      </c>
      <c r="I69" s="14" t="e">
        <v>#REF!</v>
      </c>
      <c r="J69" s="14" t="e">
        <v>#REF!</v>
      </c>
      <c r="K69" s="14" t="e">
        <v>#REF!</v>
      </c>
      <c r="L69" s="14" t="e">
        <v>#REF!</v>
      </c>
      <c r="M69">
        <v>1.9120000000000001E-3</v>
      </c>
    </row>
    <row r="70" spans="1:13" ht="14.1" customHeight="1" x14ac:dyDescent="0.25">
      <c r="A70" s="94" t="s">
        <v>91</v>
      </c>
      <c r="B70" s="105" t="s">
        <v>92</v>
      </c>
      <c r="C70" s="106">
        <v>6833.9039999999995</v>
      </c>
      <c r="D70" s="107">
        <v>12</v>
      </c>
      <c r="E70" s="67">
        <v>3.5775E-3</v>
      </c>
      <c r="F70" s="14" t="e">
        <v>#REF!</v>
      </c>
      <c r="G70" s="14" t="e">
        <v>#REF!</v>
      </c>
      <c r="H70" s="14" t="e">
        <v>#REF!</v>
      </c>
      <c r="I70" s="14" t="e">
        <v>#REF!</v>
      </c>
      <c r="J70" s="14" t="e">
        <v>#REF!</v>
      </c>
      <c r="K70" s="14" t="e">
        <v>#REF!</v>
      </c>
      <c r="L70" s="14" t="e">
        <v>#REF!</v>
      </c>
      <c r="M70">
        <v>3.5775E-3</v>
      </c>
    </row>
    <row r="71" spans="1:13" ht="14.1" customHeight="1" x14ac:dyDescent="0.25">
      <c r="A71" s="94" t="s">
        <v>93</v>
      </c>
      <c r="B71" s="105" t="s">
        <v>94</v>
      </c>
      <c r="C71" s="106">
        <v>7322.04</v>
      </c>
      <c r="D71" s="107">
        <v>12</v>
      </c>
      <c r="E71" s="67">
        <v>5.8859999999999997E-3</v>
      </c>
      <c r="F71" s="14" t="e">
        <v>#REF!</v>
      </c>
      <c r="G71" s="14" t="e">
        <v>#REF!</v>
      </c>
      <c r="H71" s="14" t="e">
        <v>#REF!</v>
      </c>
      <c r="I71" s="14" t="e">
        <v>#REF!</v>
      </c>
      <c r="J71" s="14" t="e">
        <v>#REF!</v>
      </c>
      <c r="K71" s="14" t="e">
        <v>#REF!</v>
      </c>
      <c r="L71" s="14" t="e">
        <v>#REF!</v>
      </c>
      <c r="M71">
        <v>5.8859999999999997E-3</v>
      </c>
    </row>
    <row r="72" spans="1:13" ht="14.4" customHeight="1" x14ac:dyDescent="0.25">
      <c r="A72" s="94" t="s">
        <v>95</v>
      </c>
      <c r="B72" s="105" t="s">
        <v>96</v>
      </c>
      <c r="C72" s="106">
        <v>4149.1559999999999</v>
      </c>
      <c r="D72" s="107">
        <v>12</v>
      </c>
      <c r="E72" s="67">
        <v>1.7930999999999999E-3</v>
      </c>
      <c r="F72" s="14" t="e">
        <v>#REF!</v>
      </c>
      <c r="G72" s="14" t="e">
        <v>#REF!</v>
      </c>
      <c r="H72" s="14" t="e">
        <v>#REF!</v>
      </c>
      <c r="I72" s="14" t="e">
        <v>#REF!</v>
      </c>
      <c r="J72" s="14" t="e">
        <v>#REF!</v>
      </c>
      <c r="K72" s="14" t="e">
        <v>#REF!</v>
      </c>
      <c r="L72" s="14" t="e">
        <v>#REF!</v>
      </c>
      <c r="M72">
        <v>1.7930999999999999E-3</v>
      </c>
    </row>
    <row r="73" spans="1:13" x14ac:dyDescent="0.25">
      <c r="A73" s="40">
        <v>684</v>
      </c>
      <c r="B73" s="108" t="s">
        <v>97</v>
      </c>
      <c r="C73" s="99">
        <v>1529.4928000000002</v>
      </c>
      <c r="D73" s="40">
        <v>12</v>
      </c>
      <c r="E73" s="67">
        <v>9.6296200000000004E-4</v>
      </c>
      <c r="M73">
        <v>9.6296200000000004E-4</v>
      </c>
    </row>
    <row r="74" spans="1:13" x14ac:dyDescent="0.25">
      <c r="A74" s="40">
        <v>685</v>
      </c>
      <c r="B74" s="47" t="s">
        <v>98</v>
      </c>
      <c r="C74" s="99">
        <v>2237.29</v>
      </c>
      <c r="D74" s="40">
        <v>12</v>
      </c>
      <c r="E74" s="67">
        <v>1.824083E-3</v>
      </c>
      <c r="M74">
        <v>1.824083E-3</v>
      </c>
    </row>
    <row r="75" spans="1:13" x14ac:dyDescent="0.25">
      <c r="A75" s="40">
        <v>686</v>
      </c>
      <c r="B75" s="47" t="s">
        <v>99</v>
      </c>
      <c r="C75" s="99">
        <v>2123.3916000000004</v>
      </c>
      <c r="D75" s="40">
        <v>6</v>
      </c>
      <c r="E75" s="67">
        <v>2.291183E-3</v>
      </c>
      <c r="M75">
        <v>2.291183E-3</v>
      </c>
    </row>
    <row r="76" spans="1:13" x14ac:dyDescent="0.25">
      <c r="A76" s="40">
        <v>687</v>
      </c>
      <c r="B76" s="47" t="s">
        <v>100</v>
      </c>
      <c r="C76" s="99">
        <v>1472.5436</v>
      </c>
      <c r="D76" s="40">
        <v>12</v>
      </c>
      <c r="E76" s="67">
        <v>7.6081299999999994E-4</v>
      </c>
      <c r="M76">
        <v>7.6081299999999994E-4</v>
      </c>
    </row>
    <row r="77" spans="1:13" x14ac:dyDescent="0.25">
      <c r="A77" s="56">
        <v>688</v>
      </c>
      <c r="B77" s="109" t="s">
        <v>101</v>
      </c>
      <c r="C77" s="99">
        <v>1627.1200000000001</v>
      </c>
      <c r="D77" s="56">
        <v>12</v>
      </c>
      <c r="E77" s="67">
        <v>4.148E-4</v>
      </c>
      <c r="M77">
        <v>4.148E-4</v>
      </c>
    </row>
    <row r="78" spans="1:13" x14ac:dyDescent="0.25">
      <c r="A78" s="56">
        <v>689</v>
      </c>
      <c r="B78" s="109" t="s">
        <v>102</v>
      </c>
      <c r="C78" s="99">
        <v>2318.6459999999997</v>
      </c>
      <c r="D78" s="56">
        <v>12</v>
      </c>
      <c r="E78" s="67">
        <v>7.6533299999999999E-4</v>
      </c>
      <c r="M78">
        <v>7.6533299999999999E-4</v>
      </c>
    </row>
    <row r="79" spans="1:13" x14ac:dyDescent="0.25">
      <c r="A79" s="110">
        <v>693</v>
      </c>
      <c r="B79" s="111" t="s">
        <v>103</v>
      </c>
      <c r="C79" s="112">
        <v>1138.9839999999999</v>
      </c>
      <c r="D79" s="113">
        <v>12</v>
      </c>
      <c r="E79" s="67">
        <v>3.2650000000000002E-4</v>
      </c>
      <c r="M79">
        <v>3.2650000000000002E-4</v>
      </c>
    </row>
    <row r="80" spans="1:13" x14ac:dyDescent="0.25">
      <c r="A80" s="110">
        <v>694</v>
      </c>
      <c r="B80" s="111" t="s">
        <v>104</v>
      </c>
      <c r="C80" s="112">
        <v>1553.8996000000002</v>
      </c>
      <c r="D80" s="113">
        <v>12</v>
      </c>
      <c r="E80" s="67">
        <v>1.3475E-3</v>
      </c>
      <c r="M80">
        <v>1.3475E-3</v>
      </c>
    </row>
    <row r="81" spans="1:13" x14ac:dyDescent="0.25">
      <c r="A81" s="110">
        <v>697</v>
      </c>
      <c r="B81" s="114" t="s">
        <v>105</v>
      </c>
      <c r="C81" s="112">
        <v>1553.8996000000002</v>
      </c>
      <c r="D81" s="113">
        <v>12</v>
      </c>
      <c r="E81" s="67">
        <v>7.5500000000000003E-4</v>
      </c>
      <c r="M81">
        <v>7.5500000000000003E-4</v>
      </c>
    </row>
    <row r="82" spans="1:13" x14ac:dyDescent="0.25">
      <c r="A82" s="94" t="s">
        <v>106</v>
      </c>
      <c r="B82" s="105" t="s">
        <v>107</v>
      </c>
      <c r="C82" s="106">
        <v>1553.8996000000002</v>
      </c>
      <c r="D82" s="107">
        <v>12</v>
      </c>
      <c r="E82" s="67">
        <v>7.5500000000000003E-4</v>
      </c>
      <c r="M82">
        <v>7.5500000000000003E-4</v>
      </c>
    </row>
    <row r="83" spans="1:13" x14ac:dyDescent="0.25">
      <c r="A83" s="94">
        <v>681</v>
      </c>
      <c r="B83" s="105" t="s">
        <v>108</v>
      </c>
      <c r="C83" s="106">
        <v>2359.3240000000005</v>
      </c>
      <c r="D83" s="107">
        <v>12</v>
      </c>
      <c r="E83" s="67">
        <v>7.5500000000000003E-4</v>
      </c>
      <c r="M83">
        <v>7.5500000000000003E-4</v>
      </c>
    </row>
    <row r="84" spans="1:13" x14ac:dyDescent="0.25">
      <c r="A84" s="94">
        <v>695</v>
      </c>
      <c r="B84" s="105" t="s">
        <v>109</v>
      </c>
      <c r="C84" s="106">
        <v>1415.5944</v>
      </c>
      <c r="D84" s="107">
        <v>12</v>
      </c>
      <c r="E84" s="67">
        <v>9.1441700000000005E-4</v>
      </c>
      <c r="M84">
        <v>9.1441700000000005E-4</v>
      </c>
    </row>
    <row r="85" spans="1:13" x14ac:dyDescent="0.25">
      <c r="A85" s="94">
        <v>698</v>
      </c>
      <c r="B85" s="105" t="s">
        <v>110</v>
      </c>
      <c r="C85" s="106">
        <v>1838.6456000000001</v>
      </c>
      <c r="D85" s="107">
        <v>12</v>
      </c>
      <c r="E85" s="67">
        <v>1.230421E-3</v>
      </c>
      <c r="M85">
        <v>1.230421E-3</v>
      </c>
    </row>
    <row r="86" spans="1:13" x14ac:dyDescent="0.25">
      <c r="A86" s="115">
        <v>699</v>
      </c>
      <c r="B86" s="114" t="s">
        <v>111</v>
      </c>
      <c r="C86" s="112">
        <v>1765.4252000000001</v>
      </c>
      <c r="D86" s="116">
        <v>12</v>
      </c>
      <c r="E86" s="67">
        <v>1.8500000000000001E-3</v>
      </c>
      <c r="M86">
        <v>1.8500000000000001E-3</v>
      </c>
    </row>
    <row r="87" spans="1:13" x14ac:dyDescent="0.25">
      <c r="A87" s="115">
        <v>700</v>
      </c>
      <c r="B87" s="114" t="s">
        <v>112</v>
      </c>
      <c r="C87" s="112">
        <v>2017.6288</v>
      </c>
      <c r="D87" s="116">
        <v>12</v>
      </c>
      <c r="E87" s="67">
        <v>2.444833E-3</v>
      </c>
      <c r="M87">
        <v>2.444833E-3</v>
      </c>
    </row>
    <row r="88" spans="1:13" x14ac:dyDescent="0.25">
      <c r="A88" s="40">
        <v>435</v>
      </c>
      <c r="B88" s="47" t="s">
        <v>113</v>
      </c>
      <c r="C88" s="117">
        <v>3042.7143999999998</v>
      </c>
      <c r="D88" s="40">
        <v>12</v>
      </c>
      <c r="E88" s="67">
        <v>3.3930000000000002E-3</v>
      </c>
      <c r="M88">
        <v>3.3930000000000002E-3</v>
      </c>
    </row>
    <row r="89" spans="1:13" x14ac:dyDescent="0.25">
      <c r="A89" s="40">
        <v>441</v>
      </c>
      <c r="B89" s="47" t="s">
        <v>114</v>
      </c>
      <c r="C89" s="117">
        <v>2017.6288</v>
      </c>
      <c r="D89" s="40">
        <v>12</v>
      </c>
      <c r="E89" s="67">
        <v>1.82E-3</v>
      </c>
      <c r="M89">
        <v>1.82E-3</v>
      </c>
    </row>
    <row r="90" spans="1:13" x14ac:dyDescent="0.25">
      <c r="A90" s="40">
        <v>442</v>
      </c>
      <c r="B90" s="47" t="s">
        <v>115</v>
      </c>
      <c r="C90" s="117">
        <v>3506.4435999999996</v>
      </c>
      <c r="D90" s="40">
        <v>6</v>
      </c>
      <c r="E90" s="67">
        <v>3.5152E-3</v>
      </c>
      <c r="M90">
        <v>3.5152E-3</v>
      </c>
    </row>
    <row r="91" spans="1:13" x14ac:dyDescent="0.25">
      <c r="A91" s="40">
        <v>446</v>
      </c>
      <c r="B91" s="47" t="s">
        <v>116</v>
      </c>
      <c r="C91" s="117">
        <v>1863.0524</v>
      </c>
      <c r="D91" s="40">
        <v>12</v>
      </c>
      <c r="E91" s="67">
        <v>1.2600000000000001E-3</v>
      </c>
      <c r="M91">
        <v>1.2600000000000001E-3</v>
      </c>
    </row>
    <row r="92" spans="1:13" x14ac:dyDescent="0.25">
      <c r="A92" s="40">
        <v>447</v>
      </c>
      <c r="B92" s="47" t="s">
        <v>117</v>
      </c>
      <c r="C92" s="117">
        <v>3034.5787999999998</v>
      </c>
      <c r="D92" s="40">
        <v>12</v>
      </c>
      <c r="E92" s="67">
        <v>2.4115E-3</v>
      </c>
      <c r="M92">
        <v>2.4115E-3</v>
      </c>
    </row>
    <row r="93" spans="1:13" ht="15.6" x14ac:dyDescent="0.25">
      <c r="A93" s="118"/>
      <c r="B93" s="119" t="s">
        <v>29</v>
      </c>
      <c r="C93" s="120"/>
      <c r="D93" s="121"/>
    </row>
    <row r="94" spans="1:13" x14ac:dyDescent="0.25">
      <c r="A94" s="56">
        <v>360</v>
      </c>
      <c r="B94" s="122" t="s">
        <v>118</v>
      </c>
      <c r="C94" s="99">
        <v>1806.1032</v>
      </c>
      <c r="D94" s="56">
        <v>12</v>
      </c>
      <c r="E94" s="67">
        <v>5.5630800000000004E-4</v>
      </c>
      <c r="M94">
        <v>5.5630800000000004E-4</v>
      </c>
    </row>
    <row r="95" spans="1:13" x14ac:dyDescent="0.25">
      <c r="A95" s="56">
        <v>365</v>
      </c>
      <c r="B95" s="122" t="s">
        <v>119</v>
      </c>
      <c r="C95" s="99">
        <v>2855.5956000000006</v>
      </c>
      <c r="D95" s="56">
        <v>12</v>
      </c>
      <c r="E95" s="67">
        <v>9.2862499999999998E-4</v>
      </c>
      <c r="M95">
        <v>9.2862499999999998E-4</v>
      </c>
    </row>
    <row r="96" spans="1:13" x14ac:dyDescent="0.25">
      <c r="A96" s="56">
        <v>370</v>
      </c>
      <c r="B96" s="9" t="s">
        <v>120</v>
      </c>
      <c r="C96" s="99">
        <v>3791.1895999999997</v>
      </c>
      <c r="D96" s="56">
        <v>6</v>
      </c>
      <c r="E96" s="67">
        <v>1.8745999999999999E-3</v>
      </c>
      <c r="M96">
        <v>1.8745999999999999E-3</v>
      </c>
    </row>
    <row r="97" spans="1:13" x14ac:dyDescent="0.25">
      <c r="A97" s="56" t="s">
        <v>121</v>
      </c>
      <c r="B97" s="123" t="s">
        <v>122</v>
      </c>
      <c r="C97" s="99">
        <v>7777.6335999999992</v>
      </c>
      <c r="D97" s="56">
        <v>6</v>
      </c>
      <c r="E97" s="67">
        <v>5.0166670000000007E-3</v>
      </c>
      <c r="M97">
        <v>5.0166670000000007E-3</v>
      </c>
    </row>
    <row r="98" spans="1:13" x14ac:dyDescent="0.25">
      <c r="A98" s="56">
        <v>371</v>
      </c>
      <c r="B98" s="9" t="s">
        <v>123</v>
      </c>
      <c r="C98" s="99">
        <v>2806.7820000000002</v>
      </c>
      <c r="D98" s="56">
        <v>12</v>
      </c>
      <c r="E98" s="67">
        <v>2.081977E-3</v>
      </c>
      <c r="M98">
        <v>2.081977E-3</v>
      </c>
    </row>
    <row r="99" spans="1:13" x14ac:dyDescent="0.25">
      <c r="A99" s="56">
        <v>380</v>
      </c>
      <c r="B99" s="122" t="s">
        <v>124</v>
      </c>
      <c r="C99" s="99">
        <v>2188.4764</v>
      </c>
      <c r="D99" s="56">
        <v>12</v>
      </c>
      <c r="E99" s="67">
        <v>6.4771700000000002E-4</v>
      </c>
      <c r="M99">
        <v>6.4771700000000002E-4</v>
      </c>
    </row>
    <row r="100" spans="1:13" x14ac:dyDescent="0.25">
      <c r="A100" s="56">
        <v>385</v>
      </c>
      <c r="B100" s="122" t="s">
        <v>125</v>
      </c>
      <c r="C100" s="99">
        <v>3197.2908000000002</v>
      </c>
      <c r="D100" s="56">
        <v>12</v>
      </c>
      <c r="E100" s="67">
        <v>1.0534329999999999E-3</v>
      </c>
      <c r="M100">
        <v>1.0534329999999999E-3</v>
      </c>
    </row>
    <row r="101" spans="1:13" x14ac:dyDescent="0.25">
      <c r="A101" s="56">
        <v>390</v>
      </c>
      <c r="B101" s="124" t="s">
        <v>126</v>
      </c>
      <c r="C101" s="99">
        <v>4474.58</v>
      </c>
      <c r="D101" s="56">
        <v>6</v>
      </c>
      <c r="E101" s="67">
        <v>2.309775E-3</v>
      </c>
      <c r="M101">
        <v>2.309775E-3</v>
      </c>
    </row>
    <row r="102" spans="1:13" x14ac:dyDescent="0.25">
      <c r="A102" s="56" t="s">
        <v>127</v>
      </c>
      <c r="B102" s="123" t="s">
        <v>128</v>
      </c>
      <c r="C102" s="99">
        <v>9111.8719999999994</v>
      </c>
      <c r="D102" s="56">
        <v>6</v>
      </c>
      <c r="E102" s="67">
        <v>7.4433329999999999E-3</v>
      </c>
      <c r="M102">
        <v>7.4433329999999999E-3</v>
      </c>
    </row>
    <row r="103" spans="1:13" x14ac:dyDescent="0.25">
      <c r="A103" s="56">
        <v>395</v>
      </c>
      <c r="B103" s="9" t="s">
        <v>129</v>
      </c>
      <c r="C103" s="99">
        <v>6101.7000000000007</v>
      </c>
      <c r="D103" s="56">
        <v>6</v>
      </c>
      <c r="E103" s="67">
        <v>3.7368000000000002E-3</v>
      </c>
      <c r="M103">
        <v>3.7368000000000002E-3</v>
      </c>
    </row>
    <row r="104" spans="1:13" x14ac:dyDescent="0.25">
      <c r="A104" s="56">
        <v>450</v>
      </c>
      <c r="B104" s="122" t="s">
        <v>130</v>
      </c>
      <c r="C104" s="99">
        <v>1749.154</v>
      </c>
      <c r="D104" s="56">
        <v>12</v>
      </c>
      <c r="E104" s="67">
        <v>5.1800000000000001E-4</v>
      </c>
      <c r="M104">
        <v>5.1800000000000001E-4</v>
      </c>
    </row>
    <row r="105" spans="1:13" x14ac:dyDescent="0.25">
      <c r="A105" s="56">
        <v>455</v>
      </c>
      <c r="B105" s="9" t="s">
        <v>131</v>
      </c>
      <c r="C105" s="99">
        <v>2644.07</v>
      </c>
      <c r="D105" s="56">
        <v>12</v>
      </c>
      <c r="E105" s="67">
        <v>6.78854E-4</v>
      </c>
      <c r="M105">
        <v>6.78854E-4</v>
      </c>
    </row>
    <row r="106" spans="1:13" x14ac:dyDescent="0.25">
      <c r="A106" s="56">
        <v>460</v>
      </c>
      <c r="B106" s="9" t="s">
        <v>132</v>
      </c>
      <c r="C106" s="99">
        <v>3441.3588</v>
      </c>
      <c r="D106" s="56">
        <v>6</v>
      </c>
      <c r="E106" s="67">
        <v>1.5839999999999999E-3</v>
      </c>
      <c r="M106">
        <v>1.5839999999999999E-3</v>
      </c>
    </row>
    <row r="107" spans="1:13" x14ac:dyDescent="0.25">
      <c r="A107" s="56" t="s">
        <v>133</v>
      </c>
      <c r="B107" s="9" t="s">
        <v>134</v>
      </c>
      <c r="C107" s="99">
        <v>6793.2260000000006</v>
      </c>
      <c r="D107" s="56">
        <v>6</v>
      </c>
      <c r="E107" s="67">
        <v>4.7156670000000006E-3</v>
      </c>
      <c r="M107">
        <v>4.7156670000000006E-3</v>
      </c>
    </row>
    <row r="108" spans="1:13" x14ac:dyDescent="0.25">
      <c r="A108" s="56">
        <v>470</v>
      </c>
      <c r="B108" s="122" t="s">
        <v>135</v>
      </c>
      <c r="C108" s="99">
        <v>1871.1879999999999</v>
      </c>
      <c r="D108" s="56">
        <v>12</v>
      </c>
      <c r="E108" s="67">
        <v>6.0749999999999997E-4</v>
      </c>
      <c r="M108">
        <v>6.0749999999999997E-4</v>
      </c>
    </row>
    <row r="109" spans="1:13" x14ac:dyDescent="0.25">
      <c r="A109" s="56">
        <v>475</v>
      </c>
      <c r="B109" s="122" t="s">
        <v>136</v>
      </c>
      <c r="C109" s="99">
        <v>2383.7307999999998</v>
      </c>
      <c r="D109" s="56">
        <v>12</v>
      </c>
      <c r="E109" s="67">
        <v>1.0847809999999999E-3</v>
      </c>
      <c r="M109">
        <v>1.0847809999999999E-3</v>
      </c>
    </row>
    <row r="110" spans="1:13" x14ac:dyDescent="0.25">
      <c r="A110" s="56">
        <v>480</v>
      </c>
      <c r="B110" s="122" t="s">
        <v>137</v>
      </c>
      <c r="C110" s="99">
        <v>3042.7143999999998</v>
      </c>
      <c r="D110" s="56">
        <v>6</v>
      </c>
      <c r="E110" s="67">
        <v>1.832747E-3</v>
      </c>
      <c r="M110">
        <v>1.832747E-3</v>
      </c>
    </row>
    <row r="111" spans="1:13" x14ac:dyDescent="0.25">
      <c r="A111" s="56">
        <v>545</v>
      </c>
      <c r="B111" s="9" t="s">
        <v>138</v>
      </c>
      <c r="C111" s="99">
        <v>1537.6283999999998</v>
      </c>
      <c r="D111" s="56">
        <v>12</v>
      </c>
      <c r="E111" s="67">
        <v>5.0960000000000003E-4</v>
      </c>
      <c r="M111">
        <v>5.0960000000000003E-4</v>
      </c>
    </row>
    <row r="112" spans="1:13" x14ac:dyDescent="0.25">
      <c r="A112" s="56">
        <v>550</v>
      </c>
      <c r="B112" s="122" t="s">
        <v>139</v>
      </c>
      <c r="C112" s="99">
        <v>2440.6799999999998</v>
      </c>
      <c r="D112" s="56">
        <v>12</v>
      </c>
      <c r="E112" s="67">
        <v>9.5666600000000001E-4</v>
      </c>
      <c r="M112">
        <v>9.5666600000000001E-4</v>
      </c>
    </row>
    <row r="113" spans="1:13" x14ac:dyDescent="0.25">
      <c r="A113" s="56">
        <v>555</v>
      </c>
      <c r="B113" s="122" t="s">
        <v>140</v>
      </c>
      <c r="C113" s="99">
        <v>3652.8843999999999</v>
      </c>
      <c r="D113" s="56">
        <v>6</v>
      </c>
      <c r="E113" s="67">
        <v>1.878333E-3</v>
      </c>
      <c r="M113">
        <v>1.878333E-3</v>
      </c>
    </row>
    <row r="114" spans="1:13" x14ac:dyDescent="0.25">
      <c r="A114" s="56">
        <v>560</v>
      </c>
      <c r="B114" s="124" t="s">
        <v>141</v>
      </c>
      <c r="C114" s="99">
        <v>4328.1391999999996</v>
      </c>
      <c r="D114" s="56">
        <v>6</v>
      </c>
      <c r="E114" s="67">
        <v>2.8746660000000001E-3</v>
      </c>
      <c r="M114">
        <v>2.8746660000000001E-3</v>
      </c>
    </row>
    <row r="115" spans="1:13" x14ac:dyDescent="0.25">
      <c r="A115" s="56">
        <v>495</v>
      </c>
      <c r="B115" s="109" t="s">
        <v>142</v>
      </c>
      <c r="C115" s="125">
        <v>3506.4435999999996</v>
      </c>
      <c r="D115" s="126">
        <v>12</v>
      </c>
      <c r="E115" s="67">
        <v>6.3860000000000002E-4</v>
      </c>
      <c r="M115">
        <v>6.3860000000000002E-4</v>
      </c>
    </row>
    <row r="116" spans="1:13" x14ac:dyDescent="0.25">
      <c r="A116" s="40">
        <v>780</v>
      </c>
      <c r="B116" s="47" t="s">
        <v>143</v>
      </c>
      <c r="C116" s="117">
        <v>3083.3924000000002</v>
      </c>
      <c r="D116" s="127">
        <v>12</v>
      </c>
      <c r="E116" s="67">
        <v>2.5008750000000001E-3</v>
      </c>
      <c r="M116">
        <v>2.5008750000000001E-3</v>
      </c>
    </row>
    <row r="117" spans="1:13" x14ac:dyDescent="0.25">
      <c r="A117" s="40">
        <v>785</v>
      </c>
      <c r="B117" s="47" t="s">
        <v>144</v>
      </c>
      <c r="C117" s="117">
        <v>3815.5963999999999</v>
      </c>
      <c r="D117" s="127">
        <v>12</v>
      </c>
      <c r="E117" s="67">
        <v>3.1849999999999999E-3</v>
      </c>
      <c r="M117">
        <v>3.1849999999999999E-3</v>
      </c>
    </row>
    <row r="118" spans="1:13" x14ac:dyDescent="0.25">
      <c r="A118" s="40">
        <v>786</v>
      </c>
      <c r="B118" s="47" t="s">
        <v>145</v>
      </c>
      <c r="C118" s="117">
        <v>1440.0011999999999</v>
      </c>
      <c r="D118" s="127">
        <v>12</v>
      </c>
      <c r="E118" s="67">
        <v>7.9114599999999995E-4</v>
      </c>
      <c r="M118">
        <v>7.9114599999999995E-4</v>
      </c>
    </row>
    <row r="119" spans="1:13" x14ac:dyDescent="0.25">
      <c r="A119" s="40">
        <v>787</v>
      </c>
      <c r="B119" s="47" t="s">
        <v>146</v>
      </c>
      <c r="C119" s="117">
        <v>2107.1204000000002</v>
      </c>
      <c r="D119" s="127">
        <v>12</v>
      </c>
      <c r="E119" s="67">
        <v>6.3699999999999998E-4</v>
      </c>
      <c r="M119">
        <v>6.3699999999999998E-4</v>
      </c>
    </row>
    <row r="120" spans="1:13" x14ac:dyDescent="0.25">
      <c r="A120" s="40">
        <v>790</v>
      </c>
      <c r="B120" s="47" t="s">
        <v>147</v>
      </c>
      <c r="C120" s="117">
        <v>3335.5960000000005</v>
      </c>
      <c r="D120" s="127">
        <v>12</v>
      </c>
      <c r="E120" s="67">
        <v>3.8496250000000002E-3</v>
      </c>
      <c r="M120">
        <v>3.8496250000000002E-3</v>
      </c>
    </row>
    <row r="121" spans="1:13" x14ac:dyDescent="0.25">
      <c r="A121" s="45">
        <v>791</v>
      </c>
      <c r="B121" s="46" t="s">
        <v>148</v>
      </c>
      <c r="C121" s="117">
        <v>2644.07</v>
      </c>
      <c r="D121" s="128">
        <v>12</v>
      </c>
      <c r="E121" s="67">
        <v>2.188958E-3</v>
      </c>
      <c r="M121">
        <v>2.188958E-3</v>
      </c>
    </row>
    <row r="122" spans="1:13" x14ac:dyDescent="0.25">
      <c r="A122" s="40">
        <v>793</v>
      </c>
      <c r="B122" s="47" t="s">
        <v>149</v>
      </c>
      <c r="C122" s="117">
        <v>3164.7483999999999</v>
      </c>
      <c r="D122" s="129">
        <v>12</v>
      </c>
      <c r="E122" s="67">
        <v>2.0266870000000001E-3</v>
      </c>
      <c r="M122">
        <v>2.0266870000000001E-3</v>
      </c>
    </row>
    <row r="123" spans="1:13" x14ac:dyDescent="0.25">
      <c r="A123" s="56" t="s">
        <v>150</v>
      </c>
      <c r="B123" s="109" t="s">
        <v>151</v>
      </c>
      <c r="C123" s="125">
        <v>5369.4960000000001</v>
      </c>
      <c r="D123" s="126">
        <v>12</v>
      </c>
      <c r="E123" s="67">
        <v>2.3703750000000001E-3</v>
      </c>
      <c r="M123">
        <v>2.3703750000000001E-3</v>
      </c>
    </row>
    <row r="124" spans="1:13" x14ac:dyDescent="0.25">
      <c r="A124" s="56" t="s">
        <v>152</v>
      </c>
      <c r="B124" s="109" t="s">
        <v>153</v>
      </c>
      <c r="C124" s="125">
        <v>5938.9879999999994</v>
      </c>
      <c r="D124" s="126">
        <v>12</v>
      </c>
      <c r="E124" s="67">
        <v>3.6096979999999997E-3</v>
      </c>
      <c r="M124">
        <v>3.6096979999999997E-3</v>
      </c>
    </row>
    <row r="125" spans="1:13" x14ac:dyDescent="0.25">
      <c r="A125" s="130"/>
      <c r="B125" s="131" t="s">
        <v>29</v>
      </c>
      <c r="C125" s="132"/>
      <c r="D125" s="60"/>
    </row>
    <row r="126" spans="1:13" x14ac:dyDescent="0.25">
      <c r="A126" s="56">
        <v>502</v>
      </c>
      <c r="B126" s="109" t="s">
        <v>154</v>
      </c>
      <c r="C126" s="125">
        <v>4068</v>
      </c>
      <c r="D126" s="56">
        <v>12</v>
      </c>
      <c r="E126" s="67">
        <v>4.5061249999999997E-3</v>
      </c>
      <c r="M126">
        <v>4.5061249999999997E-3</v>
      </c>
    </row>
    <row r="127" spans="1:13" x14ac:dyDescent="0.25">
      <c r="A127" s="56">
        <v>507</v>
      </c>
      <c r="B127" s="109" t="s">
        <v>155</v>
      </c>
      <c r="C127" s="125">
        <v>8624</v>
      </c>
      <c r="D127" s="56">
        <v>6</v>
      </c>
      <c r="E127" s="67">
        <v>1.4451667E-2</v>
      </c>
      <c r="M127">
        <v>1.4451667E-2</v>
      </c>
    </row>
    <row r="128" spans="1:13" x14ac:dyDescent="0.25">
      <c r="A128" s="58">
        <v>514</v>
      </c>
      <c r="B128" s="59" t="s">
        <v>156</v>
      </c>
      <c r="C128" s="133">
        <v>13668</v>
      </c>
      <c r="D128" s="134">
        <v>4</v>
      </c>
      <c r="E128" s="67">
        <v>2.7785625000000001E-2</v>
      </c>
      <c r="M128">
        <v>2.7785625000000001E-2</v>
      </c>
    </row>
    <row r="129" spans="1:13" x14ac:dyDescent="0.25">
      <c r="A129" s="135"/>
      <c r="B129" s="136" t="s">
        <v>29</v>
      </c>
      <c r="C129" s="137"/>
      <c r="D129" s="30"/>
    </row>
    <row r="130" spans="1:13" x14ac:dyDescent="0.25">
      <c r="A130" s="40">
        <v>703</v>
      </c>
      <c r="B130" s="47" t="s">
        <v>796</v>
      </c>
      <c r="C130" s="117">
        <v>1863.0524</v>
      </c>
      <c r="D130" s="40">
        <v>12</v>
      </c>
      <c r="E130" s="67">
        <v>4.73E-4</v>
      </c>
      <c r="M130">
        <v>4.73E-4</v>
      </c>
    </row>
    <row r="131" spans="1:13" x14ac:dyDescent="0.25">
      <c r="A131" s="40" t="s">
        <v>157</v>
      </c>
      <c r="B131" s="47" t="s">
        <v>816</v>
      </c>
      <c r="C131" s="117">
        <v>1863.0524</v>
      </c>
      <c r="D131" s="40">
        <v>12</v>
      </c>
      <c r="E131" s="67">
        <v>4.73E-4</v>
      </c>
      <c r="M131">
        <v>4.73E-4</v>
      </c>
    </row>
    <row r="132" spans="1:13" x14ac:dyDescent="0.25">
      <c r="A132" s="40">
        <v>704</v>
      </c>
      <c r="B132" s="47" t="s">
        <v>797</v>
      </c>
      <c r="C132" s="117">
        <v>2684.748</v>
      </c>
      <c r="D132" s="40">
        <v>12</v>
      </c>
      <c r="E132" s="67">
        <v>2.1137500000000002E-3</v>
      </c>
      <c r="M132">
        <v>2.1137500000000002E-3</v>
      </c>
    </row>
    <row r="133" spans="1:13" x14ac:dyDescent="0.25">
      <c r="A133" s="40" t="s">
        <v>158</v>
      </c>
      <c r="B133" s="47" t="s">
        <v>817</v>
      </c>
      <c r="C133" s="117">
        <v>2684.748</v>
      </c>
      <c r="D133" s="40">
        <v>12</v>
      </c>
      <c r="E133" s="67">
        <v>2.1137500000000002E-3</v>
      </c>
      <c r="M133">
        <v>2.1137500000000002E-3</v>
      </c>
    </row>
    <row r="134" spans="1:13" x14ac:dyDescent="0.25">
      <c r="A134" s="40">
        <v>706</v>
      </c>
      <c r="B134" s="47" t="s">
        <v>798</v>
      </c>
      <c r="C134" s="117">
        <v>4596.6140000000005</v>
      </c>
      <c r="D134" s="40">
        <v>6</v>
      </c>
      <c r="E134" s="67">
        <v>5.6833329999999996E-3</v>
      </c>
      <c r="M134">
        <v>5.6833329999999996E-3</v>
      </c>
    </row>
    <row r="135" spans="1:13" x14ac:dyDescent="0.25">
      <c r="A135" s="40" t="s">
        <v>159</v>
      </c>
      <c r="B135" s="47" t="s">
        <v>818</v>
      </c>
      <c r="C135" s="117">
        <v>4596.6140000000005</v>
      </c>
      <c r="D135" s="40">
        <v>6</v>
      </c>
      <c r="E135" s="67">
        <v>5.6833300000000003E-3</v>
      </c>
      <c r="M135">
        <v>5.6833300000000003E-3</v>
      </c>
    </row>
    <row r="136" spans="1:13" x14ac:dyDescent="0.25">
      <c r="A136" s="40" t="s">
        <v>160</v>
      </c>
      <c r="B136" s="47" t="s">
        <v>799</v>
      </c>
      <c r="C136" s="117">
        <v>8257.634</v>
      </c>
      <c r="D136" s="40">
        <v>6</v>
      </c>
      <c r="E136" s="67">
        <v>5.6833329999999996E-3</v>
      </c>
      <c r="M136">
        <v>5.6833329999999996E-3</v>
      </c>
    </row>
    <row r="137" spans="1:13" x14ac:dyDescent="0.25">
      <c r="A137" s="40" t="s">
        <v>161</v>
      </c>
      <c r="B137" s="47" t="s">
        <v>819</v>
      </c>
      <c r="C137" s="117">
        <v>8257.634</v>
      </c>
      <c r="D137" s="40">
        <v>6</v>
      </c>
      <c r="E137" s="67">
        <v>5.6833300000000003E-3</v>
      </c>
      <c r="M137">
        <v>5.6833300000000003E-3</v>
      </c>
    </row>
    <row r="138" spans="1:13" x14ac:dyDescent="0.25">
      <c r="A138" s="40">
        <v>707</v>
      </c>
      <c r="B138" s="47" t="s">
        <v>800</v>
      </c>
      <c r="C138" s="117">
        <v>1545.7640000000001</v>
      </c>
      <c r="D138" s="40">
        <v>12</v>
      </c>
      <c r="E138" s="67">
        <v>2.9895800000000005E-4</v>
      </c>
      <c r="M138">
        <v>2.9895800000000005E-4</v>
      </c>
    </row>
    <row r="139" spans="1:13" x14ac:dyDescent="0.25">
      <c r="A139" s="40" t="s">
        <v>162</v>
      </c>
      <c r="B139" s="47" t="s">
        <v>820</v>
      </c>
      <c r="C139" s="117">
        <v>1545.7640000000001</v>
      </c>
      <c r="D139" s="40">
        <v>12</v>
      </c>
      <c r="E139" s="67">
        <v>2.9895800000000005E-4</v>
      </c>
      <c r="M139">
        <v>2.9895800000000005E-4</v>
      </c>
    </row>
    <row r="140" spans="1:13" x14ac:dyDescent="0.25">
      <c r="A140" s="40">
        <v>709</v>
      </c>
      <c r="B140" s="47" t="s">
        <v>801</v>
      </c>
      <c r="C140" s="117">
        <v>2603.3919999999998</v>
      </c>
      <c r="D140" s="40">
        <v>12</v>
      </c>
      <c r="E140" s="67">
        <v>1.723083E-3</v>
      </c>
      <c r="M140">
        <v>1.723083E-3</v>
      </c>
    </row>
    <row r="141" spans="1:13" x14ac:dyDescent="0.25">
      <c r="A141" s="40" t="s">
        <v>163</v>
      </c>
      <c r="B141" s="47" t="s">
        <v>821</v>
      </c>
      <c r="C141" s="117">
        <v>2603.3919999999998</v>
      </c>
      <c r="D141" s="40">
        <v>12</v>
      </c>
      <c r="E141" s="67">
        <v>1.7230799999999999E-3</v>
      </c>
      <c r="M141">
        <v>1.7230799999999999E-3</v>
      </c>
    </row>
    <row r="142" spans="1:13" x14ac:dyDescent="0.25">
      <c r="A142" s="40">
        <v>712</v>
      </c>
      <c r="B142" s="47" t="s">
        <v>802</v>
      </c>
      <c r="C142" s="117">
        <v>4840.6820000000007</v>
      </c>
      <c r="D142" s="40">
        <v>6</v>
      </c>
      <c r="E142" s="67">
        <v>5.0293329999999995E-3</v>
      </c>
      <c r="M142">
        <v>5.0293329999999995E-3</v>
      </c>
    </row>
    <row r="143" spans="1:13" x14ac:dyDescent="0.25">
      <c r="A143" s="40" t="s">
        <v>164</v>
      </c>
      <c r="B143" s="47" t="s">
        <v>822</v>
      </c>
      <c r="C143" s="117">
        <v>4840.6820000000007</v>
      </c>
      <c r="D143" s="40">
        <v>6</v>
      </c>
      <c r="E143" s="67">
        <v>5.0293300000000003E-3</v>
      </c>
      <c r="M143">
        <v>5.0293300000000003E-3</v>
      </c>
    </row>
    <row r="144" spans="1:13" x14ac:dyDescent="0.25">
      <c r="A144" s="40" t="s">
        <v>165</v>
      </c>
      <c r="B144" s="47" t="s">
        <v>803</v>
      </c>
      <c r="C144" s="117">
        <v>8257.634</v>
      </c>
      <c r="D144" s="40">
        <v>6</v>
      </c>
      <c r="E144" s="67">
        <v>5.0293329999999995E-3</v>
      </c>
      <c r="M144">
        <v>5.0293329999999995E-3</v>
      </c>
    </row>
    <row r="145" spans="1:13" x14ac:dyDescent="0.25">
      <c r="A145" s="40" t="s">
        <v>166</v>
      </c>
      <c r="B145" s="47" t="s">
        <v>823</v>
      </c>
      <c r="C145" s="117">
        <v>8257.634</v>
      </c>
      <c r="D145" s="40">
        <v>6</v>
      </c>
      <c r="E145" s="67">
        <v>5.0293300000000003E-3</v>
      </c>
      <c r="M145">
        <v>5.0293300000000003E-3</v>
      </c>
    </row>
    <row r="146" spans="1:13" x14ac:dyDescent="0.25">
      <c r="A146" s="40">
        <v>708</v>
      </c>
      <c r="B146" s="47" t="s">
        <v>804</v>
      </c>
      <c r="C146" s="117">
        <v>1911.866</v>
      </c>
      <c r="D146" s="40">
        <v>12</v>
      </c>
      <c r="E146" s="67">
        <v>3.6400000000000001E-4</v>
      </c>
      <c r="M146">
        <v>3.6400000000000001E-4</v>
      </c>
    </row>
    <row r="147" spans="1:13" x14ac:dyDescent="0.25">
      <c r="A147" s="40" t="s">
        <v>167</v>
      </c>
      <c r="B147" s="47" t="s">
        <v>824</v>
      </c>
      <c r="C147" s="117">
        <v>1911.866</v>
      </c>
      <c r="D147" s="40">
        <v>12</v>
      </c>
      <c r="E147" s="67">
        <v>3.6400000000000001E-4</v>
      </c>
      <c r="M147">
        <v>3.6400000000000001E-4</v>
      </c>
    </row>
    <row r="148" spans="1:13" x14ac:dyDescent="0.25">
      <c r="A148" s="40">
        <v>711</v>
      </c>
      <c r="B148" s="47" t="s">
        <v>805</v>
      </c>
      <c r="C148" s="117">
        <v>3091.5280000000002</v>
      </c>
      <c r="D148" s="40">
        <v>12</v>
      </c>
      <c r="E148" s="67">
        <v>2.8818329999999999E-3</v>
      </c>
      <c r="M148">
        <v>2.8818329999999999E-3</v>
      </c>
    </row>
    <row r="149" spans="1:13" x14ac:dyDescent="0.25">
      <c r="A149" s="40" t="s">
        <v>168</v>
      </c>
      <c r="B149" s="47" t="s">
        <v>825</v>
      </c>
      <c r="C149" s="117">
        <v>3091.5280000000002</v>
      </c>
      <c r="D149" s="40">
        <v>12</v>
      </c>
      <c r="E149" s="67">
        <v>2.8819200000000001E-3</v>
      </c>
      <c r="M149">
        <v>2.8819200000000001E-3</v>
      </c>
    </row>
    <row r="150" spans="1:13" x14ac:dyDescent="0.25">
      <c r="A150" s="40">
        <v>717</v>
      </c>
      <c r="B150" s="47" t="s">
        <v>806</v>
      </c>
      <c r="C150" s="117">
        <v>2115.2559999999999</v>
      </c>
      <c r="D150" s="40">
        <v>12</v>
      </c>
      <c r="E150" s="67">
        <v>4.4414999999999998E-4</v>
      </c>
      <c r="M150">
        <v>4.4414999999999998E-4</v>
      </c>
    </row>
    <row r="151" spans="1:13" x14ac:dyDescent="0.25">
      <c r="A151" s="40" t="s">
        <v>169</v>
      </c>
      <c r="B151" s="47" t="s">
        <v>826</v>
      </c>
      <c r="C151" s="117">
        <v>2115.2559999999999</v>
      </c>
      <c r="D151" s="40">
        <v>12</v>
      </c>
      <c r="E151" s="67">
        <v>4.4414999999999998E-4</v>
      </c>
      <c r="M151">
        <v>4.4414999999999998E-4</v>
      </c>
    </row>
    <row r="152" spans="1:13" x14ac:dyDescent="0.25">
      <c r="A152" s="40">
        <v>719</v>
      </c>
      <c r="B152" s="47" t="s">
        <v>807</v>
      </c>
      <c r="C152" s="117">
        <v>3050.8500000000004</v>
      </c>
      <c r="D152" s="40">
        <v>12</v>
      </c>
      <c r="E152" s="67">
        <v>2.0553329999999999E-3</v>
      </c>
      <c r="M152">
        <v>2.0553329999999999E-3</v>
      </c>
    </row>
    <row r="153" spans="1:13" x14ac:dyDescent="0.25">
      <c r="A153" s="40" t="s">
        <v>170</v>
      </c>
      <c r="B153" s="47" t="s">
        <v>827</v>
      </c>
      <c r="C153" s="117">
        <v>3050.8500000000004</v>
      </c>
      <c r="D153" s="40">
        <v>12</v>
      </c>
      <c r="E153" s="67">
        <v>2.0554200000000001E-3</v>
      </c>
      <c r="M153">
        <v>2.0554200000000001E-3</v>
      </c>
    </row>
    <row r="154" spans="1:13" x14ac:dyDescent="0.25">
      <c r="A154" s="40">
        <v>722</v>
      </c>
      <c r="B154" s="47" t="s">
        <v>808</v>
      </c>
      <c r="C154" s="117">
        <v>4808.1396000000004</v>
      </c>
      <c r="D154" s="40">
        <v>6</v>
      </c>
      <c r="E154" s="67">
        <v>4.0856670000000003E-3</v>
      </c>
      <c r="M154">
        <v>4.0856670000000003E-3</v>
      </c>
    </row>
    <row r="155" spans="1:13" x14ac:dyDescent="0.25">
      <c r="A155" s="40" t="s">
        <v>171</v>
      </c>
      <c r="B155" s="47" t="s">
        <v>828</v>
      </c>
      <c r="C155" s="117">
        <v>4808.1396000000004</v>
      </c>
      <c r="D155" s="40">
        <v>6</v>
      </c>
      <c r="E155" s="67">
        <v>4.0856700000000004E-3</v>
      </c>
      <c r="M155">
        <v>4.0856700000000004E-3</v>
      </c>
    </row>
    <row r="156" spans="1:13" x14ac:dyDescent="0.25">
      <c r="A156" s="40" t="s">
        <v>172</v>
      </c>
      <c r="B156" s="47" t="s">
        <v>809</v>
      </c>
      <c r="C156" s="117">
        <v>9087.4652000000006</v>
      </c>
      <c r="D156" s="40">
        <v>6</v>
      </c>
      <c r="E156" s="67">
        <v>4.0856670000000003E-3</v>
      </c>
      <c r="M156">
        <v>4.0856670000000003E-3</v>
      </c>
    </row>
    <row r="157" spans="1:13" x14ac:dyDescent="0.25">
      <c r="A157" s="40" t="s">
        <v>173</v>
      </c>
      <c r="B157" s="47" t="s">
        <v>829</v>
      </c>
      <c r="C157" s="117">
        <v>9087.4652000000006</v>
      </c>
      <c r="D157" s="40">
        <v>6</v>
      </c>
      <c r="E157" s="67">
        <v>4.0856700000000004E-3</v>
      </c>
      <c r="M157">
        <v>4.0856700000000004E-3</v>
      </c>
    </row>
    <row r="158" spans="1:13" x14ac:dyDescent="0.25">
      <c r="A158" s="40">
        <v>718</v>
      </c>
      <c r="B158" s="47" t="s">
        <v>810</v>
      </c>
      <c r="C158" s="117">
        <v>2351.1884</v>
      </c>
      <c r="D158" s="40">
        <v>12</v>
      </c>
      <c r="E158" s="67">
        <v>4.6106700000000001E-4</v>
      </c>
      <c r="M158">
        <v>4.6106700000000001E-4</v>
      </c>
    </row>
    <row r="159" spans="1:13" x14ac:dyDescent="0.25">
      <c r="A159" s="40" t="s">
        <v>174</v>
      </c>
      <c r="B159" s="47" t="s">
        <v>830</v>
      </c>
      <c r="C159" s="117">
        <v>2351.1884</v>
      </c>
      <c r="D159" s="40">
        <v>12</v>
      </c>
      <c r="E159" s="67">
        <v>4.6106700000000001E-4</v>
      </c>
      <c r="M159">
        <v>4.6106700000000001E-4</v>
      </c>
    </row>
    <row r="160" spans="1:13" x14ac:dyDescent="0.25">
      <c r="A160" s="40">
        <v>721</v>
      </c>
      <c r="B160" s="47" t="s">
        <v>811</v>
      </c>
      <c r="C160" s="117">
        <v>4067.8</v>
      </c>
      <c r="D160" s="40">
        <v>12</v>
      </c>
      <c r="E160" s="67">
        <v>3.6974999999999998E-3</v>
      </c>
      <c r="M160">
        <v>3.6974999999999998E-3</v>
      </c>
    </row>
    <row r="161" spans="1:13" x14ac:dyDescent="0.25">
      <c r="A161" s="40" t="s">
        <v>175</v>
      </c>
      <c r="B161" s="47" t="s">
        <v>831</v>
      </c>
      <c r="C161" s="117">
        <v>4067.8</v>
      </c>
      <c r="D161" s="40">
        <v>12</v>
      </c>
      <c r="E161" s="67">
        <v>3.6974999999999998E-3</v>
      </c>
      <c r="M161">
        <v>3.6974999999999998E-3</v>
      </c>
    </row>
    <row r="162" spans="1:13" x14ac:dyDescent="0.25">
      <c r="A162" s="40">
        <v>723</v>
      </c>
      <c r="B162" s="47" t="s">
        <v>812</v>
      </c>
      <c r="C162" s="117">
        <v>5532.2080000000005</v>
      </c>
      <c r="D162" s="40">
        <v>6</v>
      </c>
      <c r="E162" s="67">
        <v>5.0000000000000001E-3</v>
      </c>
      <c r="M162">
        <v>5.0000000000000001E-3</v>
      </c>
    </row>
    <row r="163" spans="1:13" x14ac:dyDescent="0.25">
      <c r="A163" s="40" t="s">
        <v>176</v>
      </c>
      <c r="B163" s="47" t="s">
        <v>832</v>
      </c>
      <c r="C163" s="117">
        <v>5532.2080000000005</v>
      </c>
      <c r="D163" s="40">
        <v>6</v>
      </c>
      <c r="E163" s="67">
        <v>5.0000000000000001E-3</v>
      </c>
      <c r="M163">
        <v>5.0000000000000001E-3</v>
      </c>
    </row>
    <row r="164" spans="1:13" x14ac:dyDescent="0.25">
      <c r="A164" s="40" t="s">
        <v>177</v>
      </c>
      <c r="B164" s="47" t="s">
        <v>813</v>
      </c>
      <c r="C164" s="117">
        <v>11959.332000000002</v>
      </c>
      <c r="D164" s="40">
        <v>6</v>
      </c>
      <c r="E164" s="67">
        <v>7.556063E-3</v>
      </c>
      <c r="M164">
        <v>7.556063E-3</v>
      </c>
    </row>
    <row r="165" spans="1:13" x14ac:dyDescent="0.25">
      <c r="A165" s="40" t="s">
        <v>178</v>
      </c>
      <c r="B165" s="47" t="s">
        <v>833</v>
      </c>
      <c r="C165" s="117">
        <v>11959.332000000002</v>
      </c>
      <c r="D165" s="40">
        <v>6</v>
      </c>
      <c r="E165" s="67">
        <v>7.5560000000000002E-3</v>
      </c>
      <c r="M165">
        <v>7.5560000000000002E-3</v>
      </c>
    </row>
    <row r="166" spans="1:13" x14ac:dyDescent="0.25">
      <c r="A166" s="40">
        <v>714</v>
      </c>
      <c r="B166" s="47" t="s">
        <v>814</v>
      </c>
      <c r="C166" s="117">
        <v>2473.2224000000001</v>
      </c>
      <c r="D166" s="40">
        <v>12</v>
      </c>
      <c r="E166" s="67">
        <v>1.2012500000000001E-3</v>
      </c>
      <c r="M166">
        <v>1.2012500000000001E-3</v>
      </c>
    </row>
    <row r="167" spans="1:13" x14ac:dyDescent="0.25">
      <c r="A167" s="40" t="s">
        <v>179</v>
      </c>
      <c r="B167" s="47" t="s">
        <v>834</v>
      </c>
      <c r="C167" s="117">
        <v>2473.2224000000001</v>
      </c>
      <c r="D167" s="40">
        <v>12</v>
      </c>
      <c r="E167" s="67">
        <v>1.2012500000000001E-3</v>
      </c>
      <c r="M167">
        <v>1.2012500000000001E-3</v>
      </c>
    </row>
    <row r="168" spans="1:13" x14ac:dyDescent="0.25">
      <c r="A168" s="40">
        <v>716</v>
      </c>
      <c r="B168" s="47" t="s">
        <v>815</v>
      </c>
      <c r="C168" s="117">
        <v>4718.648000000001</v>
      </c>
      <c r="D168" s="40">
        <v>12</v>
      </c>
      <c r="E168" s="67">
        <v>2.944E-3</v>
      </c>
      <c r="M168">
        <v>2.944E-3</v>
      </c>
    </row>
    <row r="169" spans="1:13" x14ac:dyDescent="0.25">
      <c r="A169" s="40" t="s">
        <v>180</v>
      </c>
      <c r="B169" s="47" t="s">
        <v>835</v>
      </c>
      <c r="C169" s="117">
        <v>4718.648000000001</v>
      </c>
      <c r="D169" s="40">
        <v>12</v>
      </c>
      <c r="E169" s="67">
        <v>2.944E-3</v>
      </c>
      <c r="M169">
        <v>2.944E-3</v>
      </c>
    </row>
    <row r="170" spans="1:13" ht="16.2" x14ac:dyDescent="0.25">
      <c r="A170" s="135"/>
      <c r="B170" s="136" t="s">
        <v>29</v>
      </c>
      <c r="C170" s="138"/>
      <c r="D170" s="139"/>
      <c r="E170" s="67" t="e">
        <v>#N/A</v>
      </c>
      <c r="M170" t="e">
        <v>#N/A</v>
      </c>
    </row>
    <row r="171" spans="1:13" x14ac:dyDescent="0.25">
      <c r="A171" s="40">
        <v>901</v>
      </c>
      <c r="B171" s="8" t="s">
        <v>181</v>
      </c>
      <c r="C171" s="117">
        <v>5125.4279999999999</v>
      </c>
      <c r="D171" s="40">
        <v>12</v>
      </c>
      <c r="E171" s="67">
        <v>3.0959830000000001E-3</v>
      </c>
      <c r="M171">
        <v>3.0959830000000001E-3</v>
      </c>
    </row>
    <row r="172" spans="1:13" x14ac:dyDescent="0.25">
      <c r="A172" s="40">
        <v>911</v>
      </c>
      <c r="B172" s="9" t="s">
        <v>182</v>
      </c>
      <c r="C172" s="117">
        <v>6776.9548000000004</v>
      </c>
      <c r="D172" s="41">
        <v>12</v>
      </c>
      <c r="E172" s="67">
        <v>4.7758670000000005E-3</v>
      </c>
      <c r="M172">
        <v>4.7758670000000005E-3</v>
      </c>
    </row>
    <row r="173" spans="1:13" x14ac:dyDescent="0.25">
      <c r="A173" s="40">
        <v>921</v>
      </c>
      <c r="B173" s="8" t="s">
        <v>183</v>
      </c>
      <c r="C173" s="117">
        <v>8380</v>
      </c>
      <c r="D173" s="41">
        <v>12</v>
      </c>
      <c r="E173" s="67">
        <v>5.5533329999999997E-3</v>
      </c>
      <c r="M173">
        <v>5.5533329999999997E-3</v>
      </c>
    </row>
    <row r="174" spans="1:13" x14ac:dyDescent="0.25">
      <c r="A174" s="40">
        <v>931</v>
      </c>
      <c r="B174" s="9" t="s">
        <v>184</v>
      </c>
      <c r="C174" s="117">
        <v>12122</v>
      </c>
      <c r="D174" s="41">
        <v>12</v>
      </c>
      <c r="E174" s="67">
        <v>8.6512829999999992E-3</v>
      </c>
      <c r="M174">
        <v>8.6512829999999992E-3</v>
      </c>
    </row>
    <row r="175" spans="1:13" x14ac:dyDescent="0.25">
      <c r="A175" s="40">
        <v>941</v>
      </c>
      <c r="B175" s="9" t="s">
        <v>185</v>
      </c>
      <c r="C175" s="117">
        <v>13993</v>
      </c>
      <c r="D175" s="41">
        <v>12</v>
      </c>
      <c r="E175" s="67">
        <v>1.0884833E-2</v>
      </c>
      <c r="M175">
        <v>1.0884833E-2</v>
      </c>
    </row>
    <row r="176" spans="1:13" x14ac:dyDescent="0.25">
      <c r="A176" s="40" t="s">
        <v>186</v>
      </c>
      <c r="B176" s="9" t="s">
        <v>187</v>
      </c>
      <c r="C176" s="140">
        <v>13993</v>
      </c>
      <c r="D176" s="41">
        <v>12</v>
      </c>
      <c r="E176" s="67">
        <v>9.8322779999999999E-3</v>
      </c>
      <c r="M176">
        <v>9.8322779999999999E-3</v>
      </c>
    </row>
    <row r="177" spans="1:13" x14ac:dyDescent="0.25">
      <c r="A177" s="40" t="s">
        <v>188</v>
      </c>
      <c r="B177" s="9" t="s">
        <v>189</v>
      </c>
      <c r="C177" s="117">
        <v>13993</v>
      </c>
      <c r="D177" s="41">
        <v>12</v>
      </c>
      <c r="E177" s="67">
        <v>9.8322779999999999E-3</v>
      </c>
      <c r="M177">
        <v>9.8322779999999999E-3</v>
      </c>
    </row>
    <row r="178" spans="1:13" x14ac:dyDescent="0.25">
      <c r="A178" s="40">
        <v>951</v>
      </c>
      <c r="B178" s="8" t="s">
        <v>190</v>
      </c>
      <c r="C178" s="117">
        <v>15620</v>
      </c>
      <c r="D178" s="41">
        <v>12</v>
      </c>
      <c r="E178" s="67">
        <v>1.3073708E-2</v>
      </c>
      <c r="M178">
        <v>1.3073708E-2</v>
      </c>
    </row>
    <row r="179" spans="1:13" x14ac:dyDescent="0.25">
      <c r="A179" s="40">
        <v>961</v>
      </c>
      <c r="B179" s="8" t="s">
        <v>191</v>
      </c>
      <c r="C179" s="117">
        <v>21559</v>
      </c>
      <c r="D179" s="41">
        <v>6</v>
      </c>
      <c r="E179" s="67">
        <v>2.1566667000000001E-2</v>
      </c>
      <c r="M179">
        <v>2.1566667000000001E-2</v>
      </c>
    </row>
    <row r="180" spans="1:13" x14ac:dyDescent="0.25">
      <c r="A180" s="51" t="s">
        <v>192</v>
      </c>
      <c r="B180" s="9" t="s">
        <v>193</v>
      </c>
      <c r="C180" s="140">
        <v>24244</v>
      </c>
      <c r="D180" s="54">
        <v>6</v>
      </c>
      <c r="E180" s="67">
        <v>2.8370216E-2</v>
      </c>
      <c r="M180">
        <v>2.8370216E-2</v>
      </c>
    </row>
    <row r="181" spans="1:13" x14ac:dyDescent="0.25">
      <c r="A181" s="51" t="s">
        <v>194</v>
      </c>
      <c r="B181" s="9" t="s">
        <v>195</v>
      </c>
      <c r="C181" s="140">
        <v>24244</v>
      </c>
      <c r="D181" s="54">
        <v>6</v>
      </c>
      <c r="E181" s="67">
        <v>2.8370216E-2</v>
      </c>
      <c r="M181">
        <v>2.8370216E-2</v>
      </c>
    </row>
    <row r="182" spans="1:13" x14ac:dyDescent="0.25">
      <c r="A182" s="51">
        <v>981</v>
      </c>
      <c r="B182" s="141" t="s">
        <v>196</v>
      </c>
      <c r="C182" s="140">
        <v>30102</v>
      </c>
      <c r="D182" s="54">
        <v>6</v>
      </c>
      <c r="E182" s="67">
        <v>3.7313559999999996E-2</v>
      </c>
      <c r="M182">
        <v>3.7313559999999996E-2</v>
      </c>
    </row>
    <row r="183" spans="1:13" x14ac:dyDescent="0.25">
      <c r="A183" s="142"/>
      <c r="B183" s="143" t="s">
        <v>29</v>
      </c>
      <c r="C183" s="138"/>
      <c r="D183" s="144"/>
      <c r="E183" s="67" t="e">
        <v>#N/A</v>
      </c>
      <c r="M183" t="e">
        <v>#N/A</v>
      </c>
    </row>
    <row r="184" spans="1:13" x14ac:dyDescent="0.25">
      <c r="A184" s="48">
        <v>940</v>
      </c>
      <c r="B184" s="145" t="s">
        <v>197</v>
      </c>
      <c r="C184" s="117">
        <v>3376.2739999999999</v>
      </c>
      <c r="D184" s="48">
        <v>12</v>
      </c>
      <c r="E184" s="67">
        <v>1.35625E-3</v>
      </c>
      <c r="M184">
        <v>1.35625E-3</v>
      </c>
    </row>
    <row r="185" spans="1:13" x14ac:dyDescent="0.25">
      <c r="A185" s="45">
        <v>950</v>
      </c>
      <c r="B185" s="46" t="s">
        <v>198</v>
      </c>
      <c r="C185" s="117">
        <v>4555.9359999999997</v>
      </c>
      <c r="D185" s="41">
        <v>12</v>
      </c>
      <c r="E185" s="67">
        <v>2.063367E-3</v>
      </c>
      <c r="M185">
        <v>2.063367E-3</v>
      </c>
    </row>
    <row r="186" spans="1:13" x14ac:dyDescent="0.25">
      <c r="A186" s="40">
        <v>955</v>
      </c>
      <c r="B186" s="47" t="s">
        <v>199</v>
      </c>
      <c r="C186" s="117">
        <v>5694.92</v>
      </c>
      <c r="D186" s="41">
        <v>12</v>
      </c>
      <c r="E186" s="67">
        <v>3.6096660000000001E-3</v>
      </c>
      <c r="M186">
        <v>3.6096660000000001E-3</v>
      </c>
    </row>
    <row r="187" spans="1:13" x14ac:dyDescent="0.25">
      <c r="A187" s="48">
        <v>960</v>
      </c>
      <c r="B187" s="49" t="s">
        <v>200</v>
      </c>
      <c r="C187" s="117">
        <v>8176.2780000000002</v>
      </c>
      <c r="D187" s="41">
        <v>6</v>
      </c>
      <c r="E187" s="67">
        <v>8.0678669999999994E-3</v>
      </c>
      <c r="M187">
        <v>8.0678669999999994E-3</v>
      </c>
    </row>
    <row r="188" spans="1:13" x14ac:dyDescent="0.25">
      <c r="A188" s="48">
        <v>963</v>
      </c>
      <c r="B188" s="49" t="s">
        <v>201</v>
      </c>
      <c r="C188" s="117">
        <v>11332.890800000001</v>
      </c>
      <c r="D188" s="41">
        <v>6</v>
      </c>
      <c r="E188" s="67">
        <v>1.1939666E-2</v>
      </c>
      <c r="M188">
        <v>1.1939666E-2</v>
      </c>
    </row>
    <row r="189" spans="1:13" x14ac:dyDescent="0.25">
      <c r="A189" s="48">
        <v>965</v>
      </c>
      <c r="B189" s="49" t="s">
        <v>202</v>
      </c>
      <c r="C189" s="117">
        <v>13789.842000000001</v>
      </c>
      <c r="D189" s="41">
        <v>6</v>
      </c>
      <c r="E189" s="67">
        <v>1.5898263999999999E-2</v>
      </c>
      <c r="M189">
        <v>1.5898263999999999E-2</v>
      </c>
    </row>
    <row r="190" spans="1:13" x14ac:dyDescent="0.25">
      <c r="A190" s="48">
        <v>970</v>
      </c>
      <c r="B190" s="49" t="s">
        <v>203</v>
      </c>
      <c r="C190" s="117">
        <v>16824.4208</v>
      </c>
      <c r="D190" s="41">
        <v>6</v>
      </c>
      <c r="E190" s="67">
        <v>1.7867135999999999E-2</v>
      </c>
      <c r="M190">
        <v>1.7867135999999999E-2</v>
      </c>
    </row>
    <row r="191" spans="1:13" x14ac:dyDescent="0.25">
      <c r="A191" s="45">
        <v>975</v>
      </c>
      <c r="B191" s="46" t="s">
        <v>204</v>
      </c>
      <c r="C191" s="117">
        <v>24073.240399999999</v>
      </c>
      <c r="D191" s="54">
        <v>6</v>
      </c>
      <c r="E191" s="67">
        <v>2.8940256000000001E-2</v>
      </c>
      <c r="M191">
        <v>2.8940256000000001E-2</v>
      </c>
    </row>
    <row r="192" spans="1:13" x14ac:dyDescent="0.25">
      <c r="A192" s="56">
        <v>980</v>
      </c>
      <c r="B192" s="109" t="s">
        <v>205</v>
      </c>
      <c r="C192" s="117">
        <v>22665.781600000002</v>
      </c>
      <c r="D192" s="56">
        <v>6</v>
      </c>
      <c r="E192" s="67">
        <v>3.2104166000000003E-2</v>
      </c>
      <c r="M192">
        <v>3.2104166000000003E-2</v>
      </c>
    </row>
    <row r="193" spans="1:13" x14ac:dyDescent="0.25">
      <c r="A193" s="56">
        <v>985</v>
      </c>
      <c r="B193" s="44" t="s">
        <v>206</v>
      </c>
      <c r="C193" s="117">
        <v>32013.585999999999</v>
      </c>
      <c r="D193" s="56">
        <v>6</v>
      </c>
      <c r="E193" s="67">
        <v>3.8518775999999998E-2</v>
      </c>
      <c r="M193">
        <v>3.8518775999999998E-2</v>
      </c>
    </row>
    <row r="194" spans="1:13" x14ac:dyDescent="0.25">
      <c r="A194" s="40">
        <v>935</v>
      </c>
      <c r="B194" s="47" t="s">
        <v>207</v>
      </c>
      <c r="C194" s="117">
        <v>29695</v>
      </c>
      <c r="D194" s="40">
        <v>6</v>
      </c>
      <c r="E194" s="67">
        <v>0.04</v>
      </c>
      <c r="M194">
        <v>0.04</v>
      </c>
    </row>
    <row r="195" spans="1:13" x14ac:dyDescent="0.25">
      <c r="A195" s="142"/>
      <c r="B195" s="146" t="s">
        <v>29</v>
      </c>
      <c r="C195" s="138"/>
      <c r="D195" s="144"/>
      <c r="E195" s="67" t="e">
        <v>#N/A</v>
      </c>
      <c r="M195" t="e">
        <v>#N/A</v>
      </c>
    </row>
    <row r="196" spans="1:13" ht="17.399999999999999" x14ac:dyDescent="0.25">
      <c r="A196" s="118"/>
      <c r="B196" s="147" t="s">
        <v>29</v>
      </c>
      <c r="C196" s="148"/>
      <c r="D196" s="149"/>
      <c r="E196" s="67" t="e">
        <v>#N/A</v>
      </c>
      <c r="M196" t="e">
        <v>#N/A</v>
      </c>
    </row>
    <row r="197" spans="1:13" x14ac:dyDescent="0.25">
      <c r="A197" s="40">
        <v>270</v>
      </c>
      <c r="B197" s="47" t="s">
        <v>208</v>
      </c>
      <c r="C197" s="117">
        <v>7241</v>
      </c>
      <c r="D197" s="40">
        <v>6</v>
      </c>
      <c r="E197" s="67">
        <v>5.9861660000000002E-3</v>
      </c>
      <c r="M197">
        <v>5.9861660000000002E-3</v>
      </c>
    </row>
    <row r="198" spans="1:13" x14ac:dyDescent="0.25">
      <c r="A198" s="40">
        <v>280</v>
      </c>
      <c r="B198" s="47" t="s">
        <v>209</v>
      </c>
      <c r="C198" s="117">
        <v>13749</v>
      </c>
      <c r="D198" s="40">
        <v>4</v>
      </c>
      <c r="E198" s="67">
        <v>1.311E-2</v>
      </c>
      <c r="M198">
        <v>1.311E-2</v>
      </c>
    </row>
    <row r="199" spans="1:13" x14ac:dyDescent="0.25">
      <c r="A199" s="40">
        <v>271</v>
      </c>
      <c r="B199" s="47" t="s">
        <v>210</v>
      </c>
      <c r="C199" s="117">
        <v>5858</v>
      </c>
      <c r="D199" s="40">
        <v>6</v>
      </c>
      <c r="E199" s="67" t="e">
        <v>#N/A</v>
      </c>
      <c r="M199" t="e">
        <v>#N/A</v>
      </c>
    </row>
    <row r="200" spans="1:13" x14ac:dyDescent="0.25">
      <c r="A200" s="40" t="s">
        <v>211</v>
      </c>
      <c r="B200" s="47" t="s">
        <v>212</v>
      </c>
      <c r="C200" s="117">
        <v>5858</v>
      </c>
      <c r="D200" s="40">
        <v>6</v>
      </c>
      <c r="E200" s="67" t="e">
        <v>#N/A</v>
      </c>
      <c r="M200" t="e">
        <v>#N/A</v>
      </c>
    </row>
    <row r="201" spans="1:13" x14ac:dyDescent="0.25">
      <c r="A201" s="40" t="s">
        <v>213</v>
      </c>
      <c r="B201" s="47" t="s">
        <v>214</v>
      </c>
      <c r="C201" s="117">
        <v>10047</v>
      </c>
      <c r="D201" s="40">
        <v>6</v>
      </c>
      <c r="E201" s="67" t="e">
        <v>#N/A</v>
      </c>
      <c r="M201" t="e">
        <v>#N/A</v>
      </c>
    </row>
    <row r="202" spans="1:13" x14ac:dyDescent="0.25">
      <c r="A202" s="40">
        <v>2203</v>
      </c>
      <c r="B202" s="47" t="s">
        <v>215</v>
      </c>
      <c r="C202" s="117">
        <v>4068</v>
      </c>
      <c r="D202" s="40">
        <v>12</v>
      </c>
      <c r="E202" s="67">
        <v>2.1093000000000002E-3</v>
      </c>
      <c r="M202">
        <v>2.1093000000000002E-3</v>
      </c>
    </row>
    <row r="203" spans="1:13" x14ac:dyDescent="0.25">
      <c r="A203" s="40" t="s">
        <v>216</v>
      </c>
      <c r="B203" s="47" t="s">
        <v>217</v>
      </c>
      <c r="C203" s="117">
        <v>4068</v>
      </c>
      <c r="D203" s="40">
        <v>12</v>
      </c>
      <c r="E203" s="67">
        <v>2.1093000000000002E-3</v>
      </c>
      <c r="M203">
        <v>2.1093000000000002E-3</v>
      </c>
    </row>
    <row r="204" spans="1:13" x14ac:dyDescent="0.25">
      <c r="A204" s="40">
        <v>2205</v>
      </c>
      <c r="B204" s="47" t="s">
        <v>218</v>
      </c>
      <c r="C204" s="117">
        <v>5288</v>
      </c>
      <c r="D204" s="40">
        <v>12</v>
      </c>
      <c r="E204" s="67">
        <v>2.94437E-3</v>
      </c>
      <c r="M204">
        <v>2.94437E-3</v>
      </c>
    </row>
    <row r="205" spans="1:13" x14ac:dyDescent="0.25">
      <c r="A205" s="40" t="s">
        <v>219</v>
      </c>
      <c r="B205" s="47" t="s">
        <v>220</v>
      </c>
      <c r="C205" s="117">
        <v>5288</v>
      </c>
      <c r="D205" s="40">
        <v>12</v>
      </c>
      <c r="E205" s="67">
        <v>2.94437E-3</v>
      </c>
      <c r="M205">
        <v>2.94437E-3</v>
      </c>
    </row>
    <row r="206" spans="1:13" x14ac:dyDescent="0.25">
      <c r="A206" s="40">
        <v>2206</v>
      </c>
      <c r="B206" s="47" t="s">
        <v>221</v>
      </c>
      <c r="C206" s="117">
        <v>4881</v>
      </c>
      <c r="D206" s="40">
        <v>6</v>
      </c>
      <c r="E206" s="67">
        <v>3.5859379999999999E-3</v>
      </c>
      <c r="M206">
        <v>3.5859379999999999E-3</v>
      </c>
    </row>
    <row r="207" spans="1:13" x14ac:dyDescent="0.25">
      <c r="A207" s="40" t="s">
        <v>222</v>
      </c>
      <c r="B207" s="47" t="s">
        <v>223</v>
      </c>
      <c r="C207" s="117">
        <v>4881</v>
      </c>
      <c r="D207" s="40">
        <v>6</v>
      </c>
      <c r="E207" s="67">
        <v>3.5859379999999999E-3</v>
      </c>
      <c r="M207">
        <v>3.5859379999999999E-3</v>
      </c>
    </row>
    <row r="208" spans="1:13" x14ac:dyDescent="0.25">
      <c r="A208" s="40">
        <v>2207</v>
      </c>
      <c r="B208" s="47" t="s">
        <v>224</v>
      </c>
      <c r="C208" s="117">
        <v>7729</v>
      </c>
      <c r="D208" s="40">
        <v>6</v>
      </c>
      <c r="E208" s="67">
        <v>8.3208529999999996E-3</v>
      </c>
      <c r="M208">
        <v>8.3208529999999996E-3</v>
      </c>
    </row>
    <row r="209" spans="1:13" x14ac:dyDescent="0.25">
      <c r="A209" s="40" t="s">
        <v>225</v>
      </c>
      <c r="B209" s="47" t="s">
        <v>226</v>
      </c>
      <c r="C209" s="117">
        <v>7729</v>
      </c>
      <c r="D209" s="40">
        <v>6</v>
      </c>
      <c r="E209" s="67">
        <v>8.3208529999999996E-3</v>
      </c>
      <c r="M209">
        <v>8.3208529999999996E-3</v>
      </c>
    </row>
    <row r="210" spans="1:13" x14ac:dyDescent="0.25">
      <c r="A210" s="40">
        <v>2209</v>
      </c>
      <c r="B210" s="47" t="s">
        <v>227</v>
      </c>
      <c r="C210" s="117">
        <v>7322</v>
      </c>
      <c r="D210" s="40">
        <v>12</v>
      </c>
      <c r="E210" s="67">
        <v>5.0992200000000007E-3</v>
      </c>
      <c r="M210">
        <v>5.0992200000000007E-3</v>
      </c>
    </row>
    <row r="211" spans="1:13" x14ac:dyDescent="0.25">
      <c r="A211" s="40">
        <v>274</v>
      </c>
      <c r="B211" s="47" t="s">
        <v>228</v>
      </c>
      <c r="C211" s="117">
        <v>7713</v>
      </c>
      <c r="D211" s="40">
        <v>6</v>
      </c>
      <c r="E211" s="67">
        <v>9.4621000000000011E-3</v>
      </c>
      <c r="M211">
        <v>9.4621000000000011E-3</v>
      </c>
    </row>
    <row r="212" spans="1:13" x14ac:dyDescent="0.25">
      <c r="A212" s="40" t="s">
        <v>229</v>
      </c>
      <c r="B212" s="47" t="s">
        <v>230</v>
      </c>
      <c r="C212" s="117">
        <v>7713</v>
      </c>
      <c r="D212" s="40">
        <v>6</v>
      </c>
      <c r="E212" s="67">
        <v>9.4621000000000011E-3</v>
      </c>
      <c r="M212">
        <v>9.4621000000000011E-3</v>
      </c>
    </row>
    <row r="213" spans="1:13" x14ac:dyDescent="0.25">
      <c r="A213" s="40">
        <v>275</v>
      </c>
      <c r="B213" s="47" t="s">
        <v>231</v>
      </c>
      <c r="C213" s="117">
        <v>10739</v>
      </c>
      <c r="D213" s="40">
        <v>6</v>
      </c>
      <c r="E213" s="67">
        <v>1.7052144000000002E-2</v>
      </c>
      <c r="M213">
        <v>1.7052144000000002E-2</v>
      </c>
    </row>
    <row r="214" spans="1:13" x14ac:dyDescent="0.25">
      <c r="A214" s="40" t="s">
        <v>232</v>
      </c>
      <c r="B214" s="47" t="s">
        <v>233</v>
      </c>
      <c r="C214" s="117">
        <v>10739</v>
      </c>
      <c r="D214" s="40">
        <v>6</v>
      </c>
      <c r="E214" s="67">
        <v>1.7052144000000002E-2</v>
      </c>
      <c r="M214">
        <v>1.7052144000000002E-2</v>
      </c>
    </row>
    <row r="215" spans="1:13" x14ac:dyDescent="0.25">
      <c r="A215" s="40" t="s">
        <v>234</v>
      </c>
      <c r="B215" s="47" t="s">
        <v>235</v>
      </c>
      <c r="C215" s="117">
        <v>10739</v>
      </c>
      <c r="D215" s="40">
        <v>6</v>
      </c>
      <c r="E215" s="67">
        <v>1.705214E-2</v>
      </c>
      <c r="M215">
        <v>1.705214E-2</v>
      </c>
    </row>
    <row r="216" spans="1:13" x14ac:dyDescent="0.25">
      <c r="A216" s="40">
        <v>298</v>
      </c>
      <c r="B216" s="47" t="s">
        <v>236</v>
      </c>
      <c r="C216" s="117">
        <v>20941</v>
      </c>
      <c r="D216" s="40">
        <v>3</v>
      </c>
      <c r="E216" s="67">
        <v>2.8722338E-2</v>
      </c>
      <c r="M216">
        <v>2.8722338E-2</v>
      </c>
    </row>
    <row r="217" spans="1:13" x14ac:dyDescent="0.25">
      <c r="A217" s="40">
        <v>299</v>
      </c>
      <c r="B217" s="47" t="s">
        <v>237</v>
      </c>
      <c r="C217" s="117">
        <v>34121</v>
      </c>
      <c r="D217" s="40">
        <v>3</v>
      </c>
      <c r="E217" s="67">
        <v>5.0214957000000005E-2</v>
      </c>
      <c r="M217">
        <v>5.0214957000000005E-2</v>
      </c>
    </row>
    <row r="218" spans="1:13" x14ac:dyDescent="0.25">
      <c r="A218" s="45">
        <v>278</v>
      </c>
      <c r="B218" s="46" t="s">
        <v>238</v>
      </c>
      <c r="C218" s="150">
        <v>4637</v>
      </c>
      <c r="D218" s="54">
        <v>12</v>
      </c>
      <c r="E218" s="67">
        <v>2.9250000000000001E-3</v>
      </c>
      <c r="M218">
        <v>2.9250000000000001E-3</v>
      </c>
    </row>
    <row r="219" spans="1:13" x14ac:dyDescent="0.25">
      <c r="A219" s="45" t="s">
        <v>239</v>
      </c>
      <c r="B219" s="46" t="s">
        <v>240</v>
      </c>
      <c r="C219" s="150">
        <v>4637</v>
      </c>
      <c r="D219" s="54">
        <v>12</v>
      </c>
      <c r="E219" s="67">
        <v>3.0195E-3</v>
      </c>
      <c r="M219">
        <v>3.0195E-3</v>
      </c>
    </row>
    <row r="220" spans="1:13" x14ac:dyDescent="0.25">
      <c r="A220" s="40">
        <v>281</v>
      </c>
      <c r="B220" s="47" t="s">
        <v>241</v>
      </c>
      <c r="C220" s="117">
        <v>6305</v>
      </c>
      <c r="D220" s="40">
        <v>12</v>
      </c>
      <c r="E220" s="67">
        <v>3.76875E-3</v>
      </c>
      <c r="M220">
        <v>3.76875E-3</v>
      </c>
    </row>
    <row r="221" spans="1:13" x14ac:dyDescent="0.25">
      <c r="A221" s="40" t="s">
        <v>242</v>
      </c>
      <c r="B221" s="47" t="s">
        <v>243</v>
      </c>
      <c r="C221" s="117">
        <v>6305</v>
      </c>
      <c r="D221" s="40">
        <v>12</v>
      </c>
      <c r="E221" s="67">
        <v>3.76875E-3</v>
      </c>
      <c r="M221">
        <v>3.76875E-3</v>
      </c>
    </row>
    <row r="222" spans="1:13" x14ac:dyDescent="0.25">
      <c r="A222" s="56">
        <v>279</v>
      </c>
      <c r="B222" s="109" t="s">
        <v>244</v>
      </c>
      <c r="C222" s="125">
        <v>10332</v>
      </c>
      <c r="D222" s="56">
        <v>6</v>
      </c>
      <c r="E222" s="67">
        <v>9.5438160000000001E-3</v>
      </c>
      <c r="M222">
        <v>9.5438160000000001E-3</v>
      </c>
    </row>
    <row r="223" spans="1:13" x14ac:dyDescent="0.25">
      <c r="A223" s="58" t="s">
        <v>245</v>
      </c>
      <c r="B223" s="59" t="s">
        <v>246</v>
      </c>
      <c r="C223" s="133">
        <v>10332</v>
      </c>
      <c r="D223" s="134">
        <v>6</v>
      </c>
      <c r="E223" s="67">
        <v>9.5438160000000001E-3</v>
      </c>
      <c r="M223">
        <v>9.5438160000000001E-3</v>
      </c>
    </row>
    <row r="224" spans="1:13" x14ac:dyDescent="0.25">
      <c r="A224" s="48">
        <v>283</v>
      </c>
      <c r="B224" s="49" t="s">
        <v>247</v>
      </c>
      <c r="C224" s="151">
        <v>13546</v>
      </c>
      <c r="D224" s="41">
        <v>6</v>
      </c>
      <c r="E224" s="67">
        <v>1.0444175999999999E-2</v>
      </c>
      <c r="M224">
        <v>1.0444175999999999E-2</v>
      </c>
    </row>
    <row r="225" spans="1:13" x14ac:dyDescent="0.25">
      <c r="A225" s="48" t="s">
        <v>248</v>
      </c>
      <c r="B225" s="49" t="s">
        <v>249</v>
      </c>
      <c r="C225" s="151">
        <v>13546</v>
      </c>
      <c r="D225" s="41">
        <v>6</v>
      </c>
      <c r="E225" s="67">
        <v>1.0444180000000001E-2</v>
      </c>
      <c r="M225">
        <v>1.0444180000000001E-2</v>
      </c>
    </row>
    <row r="226" spans="1:13" x14ac:dyDescent="0.25">
      <c r="A226" s="48">
        <v>284</v>
      </c>
      <c r="B226" s="49" t="s">
        <v>250</v>
      </c>
      <c r="C226" s="151">
        <v>21030.526000000002</v>
      </c>
      <c r="D226" s="41">
        <v>6</v>
      </c>
      <c r="E226" s="67">
        <v>2.1638416000000001E-2</v>
      </c>
      <c r="M226">
        <v>2.1638416000000001E-2</v>
      </c>
    </row>
    <row r="227" spans="1:13" x14ac:dyDescent="0.25">
      <c r="A227" s="45">
        <v>285</v>
      </c>
      <c r="B227" s="46" t="s">
        <v>251</v>
      </c>
      <c r="C227" s="150">
        <v>34299.689599999998</v>
      </c>
      <c r="D227" s="54">
        <v>6</v>
      </c>
      <c r="E227" s="67">
        <v>3.7758283000000004E-2</v>
      </c>
      <c r="M227">
        <v>3.7758283000000004E-2</v>
      </c>
    </row>
    <row r="228" spans="1:13" x14ac:dyDescent="0.25">
      <c r="A228" s="40">
        <v>286</v>
      </c>
      <c r="B228" s="47" t="s">
        <v>252</v>
      </c>
      <c r="C228" s="117">
        <v>5776.2760000000007</v>
      </c>
      <c r="D228" s="40">
        <v>6</v>
      </c>
      <c r="E228" s="67">
        <v>3.1121999999999999E-3</v>
      </c>
      <c r="M228">
        <v>3.1121999999999999E-3</v>
      </c>
    </row>
    <row r="229" spans="1:13" x14ac:dyDescent="0.25">
      <c r="A229" s="40">
        <v>287</v>
      </c>
      <c r="B229" s="47" t="s">
        <v>253</v>
      </c>
      <c r="C229" s="117">
        <v>8461.0239999999994</v>
      </c>
      <c r="D229" s="40">
        <v>6</v>
      </c>
      <c r="E229" s="67">
        <v>6.6639999999999998E-3</v>
      </c>
      <c r="M229">
        <v>6.6639999999999998E-3</v>
      </c>
    </row>
    <row r="230" spans="1:13" x14ac:dyDescent="0.25">
      <c r="A230" s="40">
        <v>289</v>
      </c>
      <c r="B230" s="47" t="s">
        <v>254</v>
      </c>
      <c r="C230" s="117">
        <v>17450.862000000001</v>
      </c>
      <c r="D230" s="40">
        <v>4</v>
      </c>
      <c r="E230" s="67">
        <v>1.2179407999999999E-2</v>
      </c>
      <c r="M230">
        <v>1.2179407999999999E-2</v>
      </c>
    </row>
    <row r="231" spans="1:13" x14ac:dyDescent="0.25">
      <c r="A231" s="48">
        <v>290</v>
      </c>
      <c r="B231" s="49" t="s">
        <v>255</v>
      </c>
      <c r="C231" s="151">
        <v>28067.820000000003</v>
      </c>
      <c r="D231" s="41">
        <v>4</v>
      </c>
      <c r="E231" s="67">
        <v>0.102529</v>
      </c>
      <c r="M231">
        <v>0.102529</v>
      </c>
    </row>
    <row r="232" spans="1:13" x14ac:dyDescent="0.25">
      <c r="A232" s="48">
        <v>292</v>
      </c>
      <c r="B232" s="49" t="s">
        <v>256</v>
      </c>
      <c r="C232" s="151">
        <v>39701.72800000001</v>
      </c>
      <c r="D232" s="41">
        <v>4</v>
      </c>
      <c r="E232" s="67">
        <v>0.10252849999999999</v>
      </c>
      <c r="M232">
        <v>0.10252849999999999</v>
      </c>
    </row>
    <row r="233" spans="1:13" x14ac:dyDescent="0.25">
      <c r="A233" s="48">
        <v>295</v>
      </c>
      <c r="B233" s="49" t="s">
        <v>257</v>
      </c>
      <c r="C233" s="151">
        <v>46047.496000000006</v>
      </c>
      <c r="D233" s="41">
        <v>4</v>
      </c>
      <c r="E233" s="67">
        <v>7.3399000000000006E-2</v>
      </c>
      <c r="M233">
        <v>7.3399000000000006E-2</v>
      </c>
    </row>
    <row r="234" spans="1:13" x14ac:dyDescent="0.25">
      <c r="A234" s="40">
        <v>54</v>
      </c>
      <c r="B234" s="47" t="s">
        <v>258</v>
      </c>
      <c r="C234" s="151">
        <v>27986.464</v>
      </c>
      <c r="D234" s="40">
        <v>6</v>
      </c>
      <c r="E234" s="67">
        <v>0.02</v>
      </c>
      <c r="M234">
        <v>0.02</v>
      </c>
    </row>
    <row r="235" spans="1:13" x14ac:dyDescent="0.25">
      <c r="A235" s="40" t="s">
        <v>259</v>
      </c>
      <c r="B235" s="47" t="s">
        <v>260</v>
      </c>
      <c r="C235" s="151">
        <v>27986</v>
      </c>
      <c r="D235" s="40">
        <v>6</v>
      </c>
      <c r="E235" s="67">
        <v>0.02</v>
      </c>
      <c r="M235">
        <v>0.02</v>
      </c>
    </row>
    <row r="236" spans="1:13" x14ac:dyDescent="0.25">
      <c r="A236" s="40">
        <v>62</v>
      </c>
      <c r="B236" s="47" t="s">
        <v>261</v>
      </c>
      <c r="C236" s="151">
        <v>10983</v>
      </c>
      <c r="D236" s="40">
        <v>6</v>
      </c>
      <c r="E236" s="67">
        <v>7.4447050000000002E-3</v>
      </c>
      <c r="M236">
        <v>7.4447050000000002E-3</v>
      </c>
    </row>
    <row r="237" spans="1:13" x14ac:dyDescent="0.25">
      <c r="A237" s="51">
        <v>64</v>
      </c>
      <c r="B237" s="52" t="s">
        <v>262</v>
      </c>
      <c r="C237" s="150">
        <v>21258</v>
      </c>
      <c r="D237" s="51">
        <v>6</v>
      </c>
      <c r="E237" s="67">
        <v>1.7458893E-2</v>
      </c>
      <c r="M237">
        <v>1.7458893E-2</v>
      </c>
    </row>
    <row r="238" spans="1:13" x14ac:dyDescent="0.25">
      <c r="A238" s="51" t="s">
        <v>263</v>
      </c>
      <c r="B238" s="52" t="s">
        <v>264</v>
      </c>
      <c r="C238" s="150">
        <v>21258</v>
      </c>
      <c r="D238" s="51">
        <v>6</v>
      </c>
      <c r="E238" s="67">
        <v>1.7458889999999998E-2</v>
      </c>
      <c r="M238">
        <v>1.7458889999999998E-2</v>
      </c>
    </row>
    <row r="239" spans="1:13" x14ac:dyDescent="0.25">
      <c r="A239" s="51" t="s">
        <v>265</v>
      </c>
      <c r="B239" s="52" t="s">
        <v>266</v>
      </c>
      <c r="C239" s="150">
        <v>21258</v>
      </c>
      <c r="D239" s="51">
        <v>6</v>
      </c>
      <c r="E239" s="67">
        <v>1.7458889999999998E-2</v>
      </c>
      <c r="M239">
        <v>1.7458889999999998E-2</v>
      </c>
    </row>
    <row r="240" spans="1:13" x14ac:dyDescent="0.25">
      <c r="A240" s="51" t="s">
        <v>267</v>
      </c>
      <c r="B240" s="52" t="s">
        <v>268</v>
      </c>
      <c r="C240" s="150">
        <v>21258</v>
      </c>
      <c r="D240" s="51">
        <v>6</v>
      </c>
      <c r="E240" s="67">
        <v>1.7458889999999998E-2</v>
      </c>
      <c r="M240">
        <v>1.7458889999999998E-2</v>
      </c>
    </row>
    <row r="241" spans="1:13" x14ac:dyDescent="0.25">
      <c r="A241" s="51" t="s">
        <v>269</v>
      </c>
      <c r="B241" s="52" t="s">
        <v>270</v>
      </c>
      <c r="C241" s="150">
        <v>21258</v>
      </c>
      <c r="D241" s="51">
        <v>6</v>
      </c>
      <c r="E241" s="67">
        <v>1.7458889999999998E-2</v>
      </c>
      <c r="M241">
        <v>1.7458889999999998E-2</v>
      </c>
    </row>
    <row r="242" spans="1:13" x14ac:dyDescent="0.25">
      <c r="A242" s="51" t="s">
        <v>271</v>
      </c>
      <c r="B242" s="52" t="s">
        <v>272</v>
      </c>
      <c r="C242" s="150">
        <v>21258</v>
      </c>
      <c r="D242" s="51">
        <v>6</v>
      </c>
      <c r="E242" s="67">
        <v>1.7458889999999998E-2</v>
      </c>
      <c r="M242">
        <v>1.7458889999999998E-2</v>
      </c>
    </row>
    <row r="243" spans="1:13" x14ac:dyDescent="0.25">
      <c r="A243" s="40">
        <v>66</v>
      </c>
      <c r="B243" s="52" t="s">
        <v>273</v>
      </c>
      <c r="C243" s="117">
        <v>32461</v>
      </c>
      <c r="D243" s="40">
        <v>6</v>
      </c>
      <c r="E243" s="67">
        <v>3.2085592000000003E-2</v>
      </c>
      <c r="M243">
        <v>3.2085592000000003E-2</v>
      </c>
    </row>
    <row r="244" spans="1:13" x14ac:dyDescent="0.25">
      <c r="A244" s="40" t="s">
        <v>274</v>
      </c>
      <c r="B244" s="47" t="s">
        <v>275</v>
      </c>
      <c r="C244" s="117">
        <v>11389.84</v>
      </c>
      <c r="D244" s="40">
        <v>6</v>
      </c>
      <c r="E244" s="67">
        <v>6.4006250000000001E-3</v>
      </c>
      <c r="M244">
        <v>6.4006250000000001E-3</v>
      </c>
    </row>
    <row r="245" spans="1:13" x14ac:dyDescent="0.25">
      <c r="A245" s="40" t="s">
        <v>276</v>
      </c>
      <c r="B245" s="47" t="s">
        <v>277</v>
      </c>
      <c r="C245" s="117">
        <v>11389.84</v>
      </c>
      <c r="D245" s="40">
        <v>6</v>
      </c>
      <c r="E245" s="67">
        <v>6.4006250000000001E-3</v>
      </c>
      <c r="M245">
        <v>6.4006250000000001E-3</v>
      </c>
    </row>
    <row r="246" spans="1:13" x14ac:dyDescent="0.25">
      <c r="A246" s="40" t="s">
        <v>278</v>
      </c>
      <c r="B246" s="47" t="s">
        <v>279</v>
      </c>
      <c r="C246" s="117">
        <v>4677.97</v>
      </c>
      <c r="D246" s="40">
        <v>12</v>
      </c>
      <c r="E246" s="67">
        <v>1.0396300000000002E-3</v>
      </c>
      <c r="M246">
        <v>1.0396300000000002E-3</v>
      </c>
    </row>
    <row r="247" spans="1:13" x14ac:dyDescent="0.25">
      <c r="A247" s="40" t="s">
        <v>280</v>
      </c>
      <c r="B247" s="47" t="s">
        <v>281</v>
      </c>
      <c r="C247" s="117">
        <v>4677.97</v>
      </c>
      <c r="D247" s="40">
        <v>12</v>
      </c>
      <c r="E247" s="67">
        <v>1.0396300000000002E-3</v>
      </c>
      <c r="M247">
        <v>1.0396300000000002E-3</v>
      </c>
    </row>
    <row r="248" spans="1:13" x14ac:dyDescent="0.25">
      <c r="A248" s="40" t="s">
        <v>282</v>
      </c>
      <c r="B248" s="47" t="s">
        <v>283</v>
      </c>
      <c r="C248" s="117">
        <v>10738.992</v>
      </c>
      <c r="D248" s="40">
        <v>6</v>
      </c>
      <c r="E248" s="67">
        <v>5.4312409999999998E-3</v>
      </c>
      <c r="M248">
        <v>5.4312409999999998E-3</v>
      </c>
    </row>
    <row r="249" spans="1:13" x14ac:dyDescent="0.25">
      <c r="A249" s="40" t="s">
        <v>284</v>
      </c>
      <c r="B249" s="47" t="s">
        <v>285</v>
      </c>
      <c r="C249" s="117">
        <v>10738.992</v>
      </c>
      <c r="D249" s="40">
        <v>6</v>
      </c>
      <c r="E249" s="67">
        <v>5.4312409999999998E-3</v>
      </c>
      <c r="M249">
        <v>5.4312409999999998E-3</v>
      </c>
    </row>
    <row r="250" spans="1:13" x14ac:dyDescent="0.25">
      <c r="A250" s="40" t="s">
        <v>286</v>
      </c>
      <c r="B250" s="47" t="s">
        <v>287</v>
      </c>
      <c r="C250" s="117">
        <v>13301.706</v>
      </c>
      <c r="D250" s="40">
        <v>6</v>
      </c>
      <c r="E250" s="67">
        <v>1.6541666E-2</v>
      </c>
      <c r="M250">
        <v>1.6541666E-2</v>
      </c>
    </row>
    <row r="251" spans="1:13" x14ac:dyDescent="0.25">
      <c r="A251" s="40" t="s">
        <v>288</v>
      </c>
      <c r="B251" s="47" t="s">
        <v>289</v>
      </c>
      <c r="C251" s="117">
        <v>13301.706</v>
      </c>
      <c r="D251" s="40">
        <v>6</v>
      </c>
      <c r="E251" s="67">
        <v>1.6541666E-2</v>
      </c>
      <c r="M251">
        <v>1.6541666E-2</v>
      </c>
    </row>
    <row r="252" spans="1:13" x14ac:dyDescent="0.25">
      <c r="A252" s="40" t="s">
        <v>290</v>
      </c>
      <c r="B252" s="47" t="s">
        <v>291</v>
      </c>
      <c r="C252" s="117">
        <v>16108.487999999999</v>
      </c>
      <c r="D252" s="40">
        <v>6</v>
      </c>
      <c r="E252" s="67">
        <v>1.4812000000000001E-2</v>
      </c>
      <c r="M252">
        <v>1.4812000000000001E-2</v>
      </c>
    </row>
    <row r="253" spans="1:13" x14ac:dyDescent="0.25">
      <c r="A253" s="40" t="s">
        <v>292</v>
      </c>
      <c r="B253" s="47" t="s">
        <v>293</v>
      </c>
      <c r="C253" s="117">
        <v>16108.487999999999</v>
      </c>
      <c r="D253" s="40">
        <v>6</v>
      </c>
      <c r="E253" s="67">
        <v>1.4812000000000001E-2</v>
      </c>
      <c r="M253">
        <v>1.4812000000000001E-2</v>
      </c>
    </row>
    <row r="254" spans="1:13" x14ac:dyDescent="0.25">
      <c r="A254" s="40" t="s">
        <v>294</v>
      </c>
      <c r="B254" s="47" t="s">
        <v>295</v>
      </c>
      <c r="C254" s="117">
        <v>10738.992</v>
      </c>
      <c r="D254" s="40">
        <v>6</v>
      </c>
      <c r="E254" s="67">
        <v>5.7982910000000006E-3</v>
      </c>
      <c r="M254">
        <v>5.7982910000000006E-3</v>
      </c>
    </row>
    <row r="255" spans="1:13" x14ac:dyDescent="0.25">
      <c r="A255" s="40" t="s">
        <v>296</v>
      </c>
      <c r="B255" s="47" t="s">
        <v>297</v>
      </c>
      <c r="C255" s="117">
        <v>10738.992</v>
      </c>
      <c r="D255" s="40">
        <v>6</v>
      </c>
      <c r="E255" s="67">
        <v>5.7982910000000006E-3</v>
      </c>
      <c r="M255">
        <v>5.7982910000000006E-3</v>
      </c>
    </row>
    <row r="256" spans="1:13" x14ac:dyDescent="0.25">
      <c r="A256" s="40" t="s">
        <v>298</v>
      </c>
      <c r="B256" s="47" t="s">
        <v>299</v>
      </c>
      <c r="C256" s="117">
        <v>12610.18</v>
      </c>
      <c r="D256" s="40">
        <v>6</v>
      </c>
      <c r="E256" s="67">
        <v>1.0114875000000001E-2</v>
      </c>
      <c r="M256">
        <v>1.0114875000000001E-2</v>
      </c>
    </row>
    <row r="257" spans="1:13" x14ac:dyDescent="0.25">
      <c r="A257" s="40" t="s">
        <v>300</v>
      </c>
      <c r="B257" s="47" t="s">
        <v>301</v>
      </c>
      <c r="C257" s="117">
        <v>12610.18</v>
      </c>
      <c r="D257" s="40">
        <v>6</v>
      </c>
      <c r="E257" s="67">
        <v>1.0114875000000001E-2</v>
      </c>
      <c r="M257">
        <v>1.0114875000000001E-2</v>
      </c>
    </row>
    <row r="258" spans="1:13" x14ac:dyDescent="0.25">
      <c r="A258" s="5">
        <v>886</v>
      </c>
      <c r="B258" s="47" t="s">
        <v>302</v>
      </c>
      <c r="C258" s="106">
        <v>1000.6788</v>
      </c>
      <c r="D258" s="152">
        <v>12</v>
      </c>
      <c r="E258" s="67">
        <v>1.90125E-4</v>
      </c>
      <c r="M258">
        <v>1.90125E-4</v>
      </c>
    </row>
    <row r="259" spans="1:13" x14ac:dyDescent="0.25">
      <c r="A259" s="153" t="s">
        <v>303</v>
      </c>
      <c r="B259" s="47" t="s">
        <v>304</v>
      </c>
      <c r="C259" s="106">
        <v>1000.6788</v>
      </c>
      <c r="D259" s="152">
        <v>12</v>
      </c>
      <c r="E259" s="67">
        <v>1.90125E-4</v>
      </c>
      <c r="M259">
        <v>1.90125E-4</v>
      </c>
    </row>
    <row r="260" spans="1:13" x14ac:dyDescent="0.25">
      <c r="A260" s="5">
        <v>884</v>
      </c>
      <c r="B260" s="47" t="s">
        <v>305</v>
      </c>
      <c r="C260" s="106">
        <v>1342.374</v>
      </c>
      <c r="D260" s="152">
        <v>12</v>
      </c>
      <c r="E260" s="67">
        <v>2.8499999999999999E-4</v>
      </c>
      <c r="M260">
        <v>2.8499999999999999E-4</v>
      </c>
    </row>
    <row r="261" spans="1:13" x14ac:dyDescent="0.25">
      <c r="A261" s="153" t="s">
        <v>306</v>
      </c>
      <c r="B261" s="47" t="s">
        <v>307</v>
      </c>
      <c r="C261" s="106">
        <v>1342.374</v>
      </c>
      <c r="D261" s="152">
        <v>12</v>
      </c>
      <c r="E261" s="67">
        <v>2.8499999999999999E-4</v>
      </c>
      <c r="M261">
        <v>2.8499999999999999E-4</v>
      </c>
    </row>
    <row r="262" spans="1:13" x14ac:dyDescent="0.25">
      <c r="A262" s="5">
        <v>882</v>
      </c>
      <c r="B262" s="47" t="s">
        <v>308</v>
      </c>
      <c r="C262" s="106">
        <v>2375.5952000000002</v>
      </c>
      <c r="D262" s="152">
        <v>12</v>
      </c>
      <c r="E262" s="67">
        <v>6.23092E-4</v>
      </c>
      <c r="M262">
        <v>6.23092E-4</v>
      </c>
    </row>
    <row r="263" spans="1:13" x14ac:dyDescent="0.25">
      <c r="A263" s="153" t="s">
        <v>309</v>
      </c>
      <c r="B263" s="47" t="s">
        <v>310</v>
      </c>
      <c r="C263" s="106">
        <v>2375.5952000000002</v>
      </c>
      <c r="D263" s="152">
        <v>12</v>
      </c>
      <c r="E263" s="67">
        <v>6.23092E-4</v>
      </c>
      <c r="M263">
        <v>6.23092E-4</v>
      </c>
    </row>
    <row r="264" spans="1:13" x14ac:dyDescent="0.25">
      <c r="A264" s="5">
        <v>880</v>
      </c>
      <c r="B264" s="47" t="s">
        <v>311</v>
      </c>
      <c r="C264" s="106">
        <v>2920.6804000000002</v>
      </c>
      <c r="D264" s="152">
        <v>12</v>
      </c>
      <c r="E264" s="67">
        <v>8.8931299999999997E-4</v>
      </c>
      <c r="M264">
        <v>8.8931299999999997E-4</v>
      </c>
    </row>
    <row r="265" spans="1:13" x14ac:dyDescent="0.25">
      <c r="A265" s="153" t="s">
        <v>312</v>
      </c>
      <c r="B265" s="47" t="s">
        <v>313</v>
      </c>
      <c r="C265" s="106">
        <v>2920.6804000000002</v>
      </c>
      <c r="D265" s="152">
        <v>12</v>
      </c>
      <c r="E265" s="67">
        <v>8.8931299999999997E-4</v>
      </c>
      <c r="M265">
        <v>8.8931299999999997E-4</v>
      </c>
    </row>
    <row r="266" spans="1:13" x14ac:dyDescent="0.25">
      <c r="A266" s="153" t="s">
        <v>314</v>
      </c>
      <c r="B266" s="47" t="s">
        <v>315</v>
      </c>
      <c r="C266" s="99">
        <v>3986.444</v>
      </c>
      <c r="D266" s="152">
        <v>6</v>
      </c>
      <c r="E266" s="67">
        <v>1.5E-3</v>
      </c>
      <c r="M266">
        <v>1.5E-3</v>
      </c>
    </row>
    <row r="267" spans="1:13" x14ac:dyDescent="0.25">
      <c r="A267" s="142"/>
      <c r="B267" s="146" t="s">
        <v>29</v>
      </c>
      <c r="C267" s="138"/>
      <c r="D267" s="144"/>
      <c r="E267" s="67" t="e">
        <v>#N/A</v>
      </c>
      <c r="M267" t="e">
        <v>#N/A</v>
      </c>
    </row>
    <row r="268" spans="1:13" x14ac:dyDescent="0.25">
      <c r="A268" s="5">
        <v>580</v>
      </c>
      <c r="B268" s="47" t="s">
        <v>316</v>
      </c>
      <c r="C268" s="106">
        <v>2115.2559999999999</v>
      </c>
      <c r="D268" s="152">
        <v>12</v>
      </c>
      <c r="E268" s="67">
        <v>4.1365599999999998E-4</v>
      </c>
      <c r="M268">
        <v>4.1365599999999998E-4</v>
      </c>
    </row>
    <row r="269" spans="1:13" x14ac:dyDescent="0.25">
      <c r="A269" s="5">
        <v>581</v>
      </c>
      <c r="B269" s="47" t="s">
        <v>317</v>
      </c>
      <c r="C269" s="106">
        <v>2115.2559999999999</v>
      </c>
      <c r="D269" s="152">
        <v>12</v>
      </c>
      <c r="E269" s="67">
        <v>4.1365599999999998E-4</v>
      </c>
      <c r="M269">
        <v>4.1365599999999998E-4</v>
      </c>
    </row>
    <row r="270" spans="1:13" x14ac:dyDescent="0.25">
      <c r="A270" s="5">
        <v>582</v>
      </c>
      <c r="B270" s="47" t="s">
        <v>318</v>
      </c>
      <c r="C270" s="106">
        <v>2115.2559999999999</v>
      </c>
      <c r="D270" s="152">
        <v>12</v>
      </c>
      <c r="E270" s="67">
        <v>4.1365599999999998E-4</v>
      </c>
      <c r="M270">
        <v>4.1365599999999998E-4</v>
      </c>
    </row>
    <row r="271" spans="1:13" x14ac:dyDescent="0.25">
      <c r="A271" s="5">
        <v>585</v>
      </c>
      <c r="B271" s="47" t="s">
        <v>319</v>
      </c>
      <c r="C271" s="106">
        <v>2115.2559999999999</v>
      </c>
      <c r="D271" s="152">
        <v>12</v>
      </c>
      <c r="E271" s="67">
        <v>4.1365599999999998E-4</v>
      </c>
      <c r="M271">
        <v>4.1365599999999998E-4</v>
      </c>
    </row>
    <row r="272" spans="1:13" x14ac:dyDescent="0.25">
      <c r="A272" s="5">
        <v>587</v>
      </c>
      <c r="B272" s="47" t="s">
        <v>320</v>
      </c>
      <c r="C272" s="106">
        <v>2115.2559999999999</v>
      </c>
      <c r="D272" s="152">
        <v>12</v>
      </c>
      <c r="E272" s="67">
        <v>4.1365599999999998E-4</v>
      </c>
      <c r="M272">
        <v>4.1365599999999998E-4</v>
      </c>
    </row>
    <row r="273" spans="1:13" x14ac:dyDescent="0.25">
      <c r="A273" s="5">
        <v>588</v>
      </c>
      <c r="B273" s="47" t="s">
        <v>321</v>
      </c>
      <c r="C273" s="106">
        <v>2115.2559999999999</v>
      </c>
      <c r="D273" s="152">
        <v>12</v>
      </c>
      <c r="E273" s="67">
        <v>4.1365599999999998E-4</v>
      </c>
      <c r="M273">
        <v>4.1365599999999998E-4</v>
      </c>
    </row>
    <row r="274" spans="1:13" x14ac:dyDescent="0.25">
      <c r="A274" s="40">
        <v>308</v>
      </c>
      <c r="B274" s="47" t="s">
        <v>322</v>
      </c>
      <c r="C274" s="117">
        <v>2099</v>
      </c>
      <c r="D274" s="40">
        <v>12</v>
      </c>
      <c r="E274" s="67">
        <v>4.5183300000000001E-4</v>
      </c>
      <c r="M274">
        <v>4.5183300000000001E-4</v>
      </c>
    </row>
    <row r="275" spans="1:13" x14ac:dyDescent="0.25">
      <c r="A275" s="40" t="s">
        <v>323</v>
      </c>
      <c r="B275" s="9" t="s">
        <v>324</v>
      </c>
      <c r="C275" s="117">
        <v>2099</v>
      </c>
      <c r="D275" s="40">
        <v>12</v>
      </c>
      <c r="E275" s="67">
        <v>4.5183300000000001E-4</v>
      </c>
      <c r="M275">
        <v>4.5183300000000001E-4</v>
      </c>
    </row>
    <row r="276" spans="1:13" x14ac:dyDescent="0.25">
      <c r="A276" s="40">
        <v>311</v>
      </c>
      <c r="B276" s="47" t="s">
        <v>325</v>
      </c>
      <c r="C276" s="117">
        <v>1936</v>
      </c>
      <c r="D276" s="40">
        <v>12</v>
      </c>
      <c r="E276" s="67">
        <v>4.0424999999999999E-4</v>
      </c>
      <c r="M276">
        <v>4.0424999999999999E-4</v>
      </c>
    </row>
    <row r="277" spans="1:13" x14ac:dyDescent="0.25">
      <c r="A277" s="40">
        <v>312</v>
      </c>
      <c r="B277" s="47" t="s">
        <v>326</v>
      </c>
      <c r="C277" s="117">
        <v>936</v>
      </c>
      <c r="D277" s="40">
        <v>12</v>
      </c>
      <c r="E277" s="67">
        <v>3.50365E-4</v>
      </c>
      <c r="M277">
        <v>3.50365E-4</v>
      </c>
    </row>
    <row r="278" spans="1:13" x14ac:dyDescent="0.25">
      <c r="A278" s="40" t="s">
        <v>327</v>
      </c>
      <c r="B278" s="47" t="s">
        <v>328</v>
      </c>
      <c r="C278" s="117">
        <v>936</v>
      </c>
      <c r="D278" s="40">
        <v>12</v>
      </c>
      <c r="E278" s="67">
        <v>3.50365E-4</v>
      </c>
      <c r="M278">
        <v>3.50365E-4</v>
      </c>
    </row>
    <row r="279" spans="1:13" x14ac:dyDescent="0.25">
      <c r="A279" s="40">
        <v>313</v>
      </c>
      <c r="B279" s="47" t="s">
        <v>329</v>
      </c>
      <c r="C279" s="117">
        <v>1586</v>
      </c>
      <c r="D279" s="40">
        <v>12</v>
      </c>
      <c r="E279" s="67">
        <v>4.2116699999999996E-4</v>
      </c>
      <c r="M279">
        <v>4.2116699999999996E-4</v>
      </c>
    </row>
    <row r="280" spans="1:13" x14ac:dyDescent="0.25">
      <c r="A280" s="40" t="s">
        <v>330</v>
      </c>
      <c r="B280" s="47" t="s">
        <v>331</v>
      </c>
      <c r="C280" s="117">
        <v>1586</v>
      </c>
      <c r="D280" s="40">
        <v>12</v>
      </c>
      <c r="E280" s="67">
        <v>4.2116699999999996E-4</v>
      </c>
      <c r="M280">
        <v>4.2116699999999996E-4</v>
      </c>
    </row>
    <row r="281" spans="1:13" x14ac:dyDescent="0.25">
      <c r="A281" s="40">
        <v>314</v>
      </c>
      <c r="B281" s="47" t="s">
        <v>332</v>
      </c>
      <c r="C281" s="117">
        <v>2286</v>
      </c>
      <c r="D281" s="40">
        <v>12</v>
      </c>
      <c r="E281" s="67">
        <v>8.2837500000000001E-4</v>
      </c>
      <c r="M281">
        <v>8.2837500000000001E-4</v>
      </c>
    </row>
    <row r="282" spans="1:13" x14ac:dyDescent="0.25">
      <c r="A282" s="40" t="s">
        <v>333</v>
      </c>
      <c r="B282" s="47" t="s">
        <v>334</v>
      </c>
      <c r="C282" s="117">
        <v>2286</v>
      </c>
      <c r="D282" s="40">
        <v>12</v>
      </c>
      <c r="E282" s="67">
        <v>8.2837500000000001E-4</v>
      </c>
      <c r="M282">
        <v>8.2837500000000001E-4</v>
      </c>
    </row>
    <row r="283" spans="1:13" x14ac:dyDescent="0.25">
      <c r="A283" s="40">
        <v>315</v>
      </c>
      <c r="B283" s="47" t="s">
        <v>335</v>
      </c>
      <c r="C283" s="117">
        <v>2921</v>
      </c>
      <c r="D283" s="40">
        <v>12</v>
      </c>
      <c r="E283" s="67">
        <v>8.2837500000000001E-4</v>
      </c>
      <c r="M283">
        <v>8.2837500000000001E-4</v>
      </c>
    </row>
    <row r="284" spans="1:13" x14ac:dyDescent="0.25">
      <c r="A284" s="40" t="s">
        <v>336</v>
      </c>
      <c r="B284" s="47" t="s">
        <v>335</v>
      </c>
      <c r="C284" s="117">
        <v>2921</v>
      </c>
      <c r="D284" s="40">
        <v>12</v>
      </c>
      <c r="E284" s="67">
        <v>8.2837500000000001E-4</v>
      </c>
      <c r="M284">
        <v>8.2837500000000001E-4</v>
      </c>
    </row>
    <row r="285" spans="1:13" x14ac:dyDescent="0.25">
      <c r="A285" s="40">
        <v>317</v>
      </c>
      <c r="B285" s="47" t="s">
        <v>337</v>
      </c>
      <c r="C285" s="117">
        <v>4060</v>
      </c>
      <c r="D285" s="40">
        <v>12</v>
      </c>
      <c r="E285" s="67">
        <v>3.3916699999999997E-4</v>
      </c>
      <c r="M285">
        <v>3.3916699999999997E-4</v>
      </c>
    </row>
    <row r="286" spans="1:13" x14ac:dyDescent="0.25">
      <c r="A286" s="40">
        <v>318</v>
      </c>
      <c r="B286" s="47" t="s">
        <v>338</v>
      </c>
      <c r="C286" s="117">
        <v>9584</v>
      </c>
      <c r="D286" s="40">
        <v>12</v>
      </c>
      <c r="E286" s="67">
        <v>6.3900000000000003E-4</v>
      </c>
      <c r="M286">
        <v>6.3900000000000003E-4</v>
      </c>
    </row>
    <row r="287" spans="1:13" x14ac:dyDescent="0.25">
      <c r="A287" s="40">
        <v>319</v>
      </c>
      <c r="B287" s="47" t="s">
        <v>339</v>
      </c>
      <c r="C287" s="117">
        <v>10967</v>
      </c>
      <c r="D287" s="40">
        <v>12</v>
      </c>
      <c r="E287" s="67">
        <v>8.5462500000000002E-4</v>
      </c>
      <c r="M287">
        <v>8.5462500000000002E-4</v>
      </c>
    </row>
    <row r="288" spans="1:13" x14ac:dyDescent="0.25">
      <c r="A288" s="40">
        <v>321</v>
      </c>
      <c r="B288" s="47" t="s">
        <v>340</v>
      </c>
      <c r="C288" s="117">
        <v>1424</v>
      </c>
      <c r="D288" s="40">
        <v>24</v>
      </c>
      <c r="E288" s="67">
        <v>2.3066999999999999E-4</v>
      </c>
      <c r="M288">
        <v>2.3066999999999999E-4</v>
      </c>
    </row>
    <row r="289" spans="1:13" x14ac:dyDescent="0.25">
      <c r="A289" s="40">
        <v>322</v>
      </c>
      <c r="B289" s="47" t="s">
        <v>341</v>
      </c>
      <c r="C289" s="117">
        <v>2099</v>
      </c>
      <c r="D289" s="40">
        <v>12</v>
      </c>
      <c r="E289" s="67">
        <v>6.1200000000000002E-4</v>
      </c>
      <c r="M289">
        <v>6.1200000000000002E-4</v>
      </c>
    </row>
    <row r="290" spans="1:13" x14ac:dyDescent="0.25">
      <c r="A290" s="40">
        <v>323</v>
      </c>
      <c r="B290" s="47" t="s">
        <v>342</v>
      </c>
      <c r="C290" s="117">
        <v>3620</v>
      </c>
      <c r="D290" s="40">
        <v>12</v>
      </c>
      <c r="E290" s="67">
        <v>1.3057280000000001E-3</v>
      </c>
      <c r="M290">
        <v>1.3057280000000001E-3</v>
      </c>
    </row>
    <row r="291" spans="1:13" x14ac:dyDescent="0.25">
      <c r="A291" s="40">
        <v>324</v>
      </c>
      <c r="B291" s="47" t="s">
        <v>343</v>
      </c>
      <c r="C291" s="117">
        <v>5492</v>
      </c>
      <c r="D291" s="40">
        <v>12</v>
      </c>
      <c r="E291" s="67">
        <v>1.9429970000000001E-3</v>
      </c>
      <c r="M291">
        <v>1.9429970000000001E-3</v>
      </c>
    </row>
    <row r="292" spans="1:13" x14ac:dyDescent="0.25">
      <c r="A292" s="40">
        <v>326</v>
      </c>
      <c r="B292" s="47" t="s">
        <v>344</v>
      </c>
      <c r="C292" s="117">
        <v>1546</v>
      </c>
      <c r="D292" s="40">
        <v>24</v>
      </c>
      <c r="E292" s="67">
        <v>3.8249999999999997E-4</v>
      </c>
      <c r="M292">
        <v>3.8249999999999997E-4</v>
      </c>
    </row>
    <row r="293" spans="1:13" x14ac:dyDescent="0.25">
      <c r="A293" s="40">
        <v>328</v>
      </c>
      <c r="B293" s="47" t="s">
        <v>345</v>
      </c>
      <c r="C293" s="117">
        <v>2766</v>
      </c>
      <c r="D293" s="40">
        <v>6</v>
      </c>
      <c r="E293" s="67">
        <v>1.533829E-3</v>
      </c>
      <c r="M293">
        <v>1.533829E-3</v>
      </c>
    </row>
    <row r="294" spans="1:13" x14ac:dyDescent="0.25">
      <c r="A294" s="40">
        <v>331</v>
      </c>
      <c r="B294" s="47" t="s">
        <v>346</v>
      </c>
      <c r="C294" s="117">
        <v>8298</v>
      </c>
      <c r="D294" s="40">
        <v>6</v>
      </c>
      <c r="E294" s="67">
        <v>5.4519719999999994E-3</v>
      </c>
      <c r="M294">
        <v>5.4519719999999994E-3</v>
      </c>
    </row>
    <row r="295" spans="1:13" x14ac:dyDescent="0.25">
      <c r="A295" s="40">
        <v>338</v>
      </c>
      <c r="B295" s="47" t="s">
        <v>347</v>
      </c>
      <c r="C295" s="117">
        <v>3271</v>
      </c>
      <c r="D295" s="56">
        <v>12</v>
      </c>
      <c r="E295" s="67">
        <v>2.0969999999999999E-3</v>
      </c>
      <c r="M295">
        <v>2.0969999999999999E-3</v>
      </c>
    </row>
    <row r="296" spans="1:13" x14ac:dyDescent="0.25">
      <c r="A296" s="40">
        <v>332</v>
      </c>
      <c r="B296" s="47" t="s">
        <v>348</v>
      </c>
      <c r="C296" s="117">
        <v>5369</v>
      </c>
      <c r="D296" s="40">
        <v>6</v>
      </c>
      <c r="E296" s="67">
        <v>1.672125E-3</v>
      </c>
      <c r="M296">
        <v>1.672125E-3</v>
      </c>
    </row>
    <row r="297" spans="1:13" x14ac:dyDescent="0.25">
      <c r="A297" s="40">
        <v>341</v>
      </c>
      <c r="B297" s="47" t="s">
        <v>349</v>
      </c>
      <c r="C297" s="117">
        <v>2270</v>
      </c>
      <c r="D297" s="40">
        <v>12</v>
      </c>
      <c r="E297" s="67">
        <v>3.48E-4</v>
      </c>
      <c r="M297">
        <v>3.48E-4</v>
      </c>
    </row>
    <row r="298" spans="1:13" x14ac:dyDescent="0.25">
      <c r="A298" s="40">
        <v>342</v>
      </c>
      <c r="B298" s="47" t="s">
        <v>350</v>
      </c>
      <c r="C298" s="117">
        <v>4857</v>
      </c>
      <c r="D298" s="40">
        <v>6</v>
      </c>
      <c r="E298" s="67">
        <v>1.0874999999999999E-3</v>
      </c>
      <c r="M298">
        <v>1.0874999999999999E-3</v>
      </c>
    </row>
    <row r="299" spans="1:13" x14ac:dyDescent="0.25">
      <c r="A299" s="40">
        <v>343</v>
      </c>
      <c r="B299" s="47" t="s">
        <v>351</v>
      </c>
      <c r="C299" s="117">
        <v>8624</v>
      </c>
      <c r="D299" s="40">
        <v>6</v>
      </c>
      <c r="E299" s="67">
        <v>2.2420000000000001E-3</v>
      </c>
      <c r="M299">
        <v>2.2420000000000001E-3</v>
      </c>
    </row>
    <row r="300" spans="1:13" x14ac:dyDescent="0.25">
      <c r="A300" s="40">
        <v>345</v>
      </c>
      <c r="B300" s="47" t="s">
        <v>352</v>
      </c>
      <c r="C300" s="117">
        <v>7241</v>
      </c>
      <c r="D300" s="40">
        <v>6</v>
      </c>
      <c r="E300" s="67">
        <v>3.6472919999999999E-3</v>
      </c>
      <c r="M300">
        <v>3.6472919999999999E-3</v>
      </c>
    </row>
    <row r="301" spans="1:13" x14ac:dyDescent="0.25">
      <c r="A301" s="40" t="s">
        <v>353</v>
      </c>
      <c r="B301" s="47" t="s">
        <v>354</v>
      </c>
      <c r="C301" s="117">
        <v>7241</v>
      </c>
      <c r="D301" s="40">
        <v>6</v>
      </c>
      <c r="E301" s="67">
        <v>3.6472919999999999E-3</v>
      </c>
      <c r="M301">
        <v>3.6472919999999999E-3</v>
      </c>
    </row>
    <row r="302" spans="1:13" x14ac:dyDescent="0.25">
      <c r="A302" s="40">
        <v>346</v>
      </c>
      <c r="B302" s="47" t="s">
        <v>355</v>
      </c>
      <c r="C302" s="117">
        <v>5003</v>
      </c>
      <c r="D302" s="40">
        <v>6</v>
      </c>
      <c r="E302" s="67">
        <v>2.9155000000000001E-3</v>
      </c>
      <c r="M302">
        <v>2.9155000000000001E-3</v>
      </c>
    </row>
    <row r="303" spans="1:13" x14ac:dyDescent="0.25">
      <c r="A303" s="40" t="s">
        <v>356</v>
      </c>
      <c r="B303" s="47" t="s">
        <v>357</v>
      </c>
      <c r="C303" s="117">
        <v>5003</v>
      </c>
      <c r="D303" s="40">
        <v>6</v>
      </c>
      <c r="E303" s="67">
        <v>2.9155000000000001E-3</v>
      </c>
      <c r="M303">
        <v>2.9155000000000001E-3</v>
      </c>
    </row>
    <row r="304" spans="1:13" x14ac:dyDescent="0.25">
      <c r="A304" s="40">
        <v>349</v>
      </c>
      <c r="B304" s="47" t="s">
        <v>358</v>
      </c>
      <c r="C304" s="117">
        <v>3246</v>
      </c>
      <c r="D304" s="40">
        <v>12</v>
      </c>
      <c r="E304" s="67">
        <v>8.3281299999999996E-4</v>
      </c>
      <c r="M304">
        <v>8.3281299999999996E-4</v>
      </c>
    </row>
    <row r="305" spans="1:13" x14ac:dyDescent="0.25">
      <c r="A305" s="40" t="s">
        <v>359</v>
      </c>
      <c r="B305" s="47" t="s">
        <v>360</v>
      </c>
      <c r="C305" s="117">
        <v>3246</v>
      </c>
      <c r="D305" s="40">
        <v>12</v>
      </c>
      <c r="E305" s="67">
        <v>8.3281299999999996E-4</v>
      </c>
      <c r="M305">
        <v>8.3281299999999996E-4</v>
      </c>
    </row>
    <row r="306" spans="1:13" x14ac:dyDescent="0.25">
      <c r="A306" s="40">
        <v>350</v>
      </c>
      <c r="B306" s="47" t="s">
        <v>361</v>
      </c>
      <c r="C306" s="117">
        <v>2197</v>
      </c>
      <c r="D306" s="40">
        <v>12</v>
      </c>
      <c r="E306" s="67">
        <v>8.4000000000000003E-4</v>
      </c>
      <c r="M306">
        <v>8.4000000000000003E-4</v>
      </c>
    </row>
    <row r="307" spans="1:13" x14ac:dyDescent="0.25">
      <c r="A307" s="40" t="s">
        <v>362</v>
      </c>
      <c r="B307" s="47" t="s">
        <v>363</v>
      </c>
      <c r="C307" s="117">
        <v>2197</v>
      </c>
      <c r="D307" s="40">
        <v>12</v>
      </c>
      <c r="E307" s="67">
        <v>8.4000000000000003E-4</v>
      </c>
      <c r="M307">
        <v>8.4000000000000003E-4</v>
      </c>
    </row>
    <row r="308" spans="1:13" x14ac:dyDescent="0.25">
      <c r="A308" s="40">
        <v>347</v>
      </c>
      <c r="B308" s="47" t="s">
        <v>364</v>
      </c>
      <c r="C308" s="117">
        <v>1399</v>
      </c>
      <c r="D308" s="40">
        <v>12</v>
      </c>
      <c r="E308" s="67">
        <v>2.1450000000000001E-4</v>
      </c>
      <c r="M308">
        <v>2.1450000000000001E-4</v>
      </c>
    </row>
    <row r="309" spans="1:13" x14ac:dyDescent="0.25">
      <c r="A309" s="48" t="s">
        <v>365</v>
      </c>
      <c r="B309" s="49" t="s">
        <v>366</v>
      </c>
      <c r="C309" s="154">
        <v>1399</v>
      </c>
      <c r="D309" s="48">
        <v>12</v>
      </c>
      <c r="E309" s="67">
        <v>2.1450000000000001E-4</v>
      </c>
      <c r="M309">
        <v>2.1450000000000001E-4</v>
      </c>
    </row>
    <row r="310" spans="1:13" x14ac:dyDescent="0.25">
      <c r="A310" s="48">
        <v>348</v>
      </c>
      <c r="B310" s="49" t="s">
        <v>367</v>
      </c>
      <c r="C310" s="154">
        <v>1399</v>
      </c>
      <c r="D310" s="48">
        <v>12</v>
      </c>
      <c r="E310" s="67">
        <v>2.62167E-4</v>
      </c>
      <c r="M310">
        <v>2.62167E-4</v>
      </c>
    </row>
    <row r="311" spans="1:13" x14ac:dyDescent="0.25">
      <c r="A311" s="48" t="s">
        <v>368</v>
      </c>
      <c r="B311" s="49" t="s">
        <v>369</v>
      </c>
      <c r="C311" s="154">
        <v>1399</v>
      </c>
      <c r="D311" s="48">
        <v>12</v>
      </c>
      <c r="E311" s="67">
        <v>2.62167E-4</v>
      </c>
      <c r="M311">
        <v>2.62167E-4</v>
      </c>
    </row>
    <row r="312" spans="1:13" x14ac:dyDescent="0.25">
      <c r="A312" s="40">
        <v>351</v>
      </c>
      <c r="B312" s="47" t="s">
        <v>370</v>
      </c>
      <c r="C312" s="117">
        <v>2441</v>
      </c>
      <c r="D312" s="40">
        <v>12</v>
      </c>
      <c r="E312" s="67">
        <v>3.1250000000000001E-4</v>
      </c>
      <c r="M312">
        <v>3.1250000000000001E-4</v>
      </c>
    </row>
    <row r="313" spans="1:13" x14ac:dyDescent="0.25">
      <c r="A313" s="40" t="s">
        <v>371</v>
      </c>
      <c r="B313" s="47" t="s">
        <v>366</v>
      </c>
      <c r="C313" s="117">
        <v>2441</v>
      </c>
      <c r="D313" s="40">
        <v>12</v>
      </c>
      <c r="E313" s="67">
        <v>3.1250000000000001E-4</v>
      </c>
      <c r="M313">
        <v>3.1250000000000001E-4</v>
      </c>
    </row>
    <row r="314" spans="1:13" x14ac:dyDescent="0.25">
      <c r="A314" s="40">
        <v>1260</v>
      </c>
      <c r="B314" s="47" t="s">
        <v>372</v>
      </c>
      <c r="C314" s="155">
        <v>2359</v>
      </c>
      <c r="D314" s="40">
        <v>12</v>
      </c>
      <c r="E314" s="67">
        <v>5.13771E-4</v>
      </c>
      <c r="M314">
        <v>5.13771E-4</v>
      </c>
    </row>
    <row r="315" spans="1:13" x14ac:dyDescent="0.25">
      <c r="A315" s="40">
        <v>352</v>
      </c>
      <c r="B315" s="47" t="s">
        <v>373</v>
      </c>
      <c r="C315" s="117">
        <v>2376</v>
      </c>
      <c r="D315" s="40">
        <v>12</v>
      </c>
      <c r="E315" s="67">
        <v>1.1039999999999999E-3</v>
      </c>
      <c r="M315">
        <v>1.1039999999999999E-3</v>
      </c>
    </row>
    <row r="316" spans="1:13" x14ac:dyDescent="0.25">
      <c r="A316" s="40" t="s">
        <v>374</v>
      </c>
      <c r="B316" s="47" t="s">
        <v>363</v>
      </c>
      <c r="C316" s="117">
        <v>2376</v>
      </c>
      <c r="D316" s="40">
        <v>12</v>
      </c>
      <c r="E316" s="67">
        <v>1.1039999999999999E-3</v>
      </c>
      <c r="M316">
        <v>1.1039999999999999E-3</v>
      </c>
    </row>
    <row r="317" spans="1:13" x14ac:dyDescent="0.25">
      <c r="A317" s="40">
        <v>353</v>
      </c>
      <c r="B317" s="47" t="s">
        <v>375</v>
      </c>
      <c r="C317" s="117">
        <v>3661</v>
      </c>
      <c r="D317" s="40">
        <v>12</v>
      </c>
      <c r="E317" s="67">
        <v>1.554E-3</v>
      </c>
      <c r="M317">
        <v>1.554E-3</v>
      </c>
    </row>
    <row r="318" spans="1:13" x14ac:dyDescent="0.25">
      <c r="A318" s="40" t="s">
        <v>376</v>
      </c>
      <c r="B318" s="47" t="s">
        <v>377</v>
      </c>
      <c r="C318" s="117">
        <v>3661</v>
      </c>
      <c r="D318" s="40">
        <v>12</v>
      </c>
      <c r="E318" s="67">
        <v>1.554E-3</v>
      </c>
      <c r="M318">
        <v>1.554E-3</v>
      </c>
    </row>
    <row r="319" spans="1:13" x14ac:dyDescent="0.25">
      <c r="A319" s="40">
        <v>354</v>
      </c>
      <c r="B319" s="47" t="s">
        <v>378</v>
      </c>
      <c r="C319" s="117">
        <v>7379</v>
      </c>
      <c r="D319" s="40">
        <v>6</v>
      </c>
      <c r="E319" s="67">
        <v>7.6439999999999998E-3</v>
      </c>
      <c r="M319">
        <v>7.6439999999999998E-3</v>
      </c>
    </row>
    <row r="320" spans="1:13" x14ac:dyDescent="0.25">
      <c r="A320" s="40" t="s">
        <v>379</v>
      </c>
      <c r="B320" s="47" t="s">
        <v>377</v>
      </c>
      <c r="C320" s="117">
        <v>7379</v>
      </c>
      <c r="D320" s="40">
        <v>6</v>
      </c>
      <c r="E320" s="67">
        <v>7.6439999999999998E-3</v>
      </c>
      <c r="M320">
        <v>7.6439999999999998E-3</v>
      </c>
    </row>
    <row r="321" spans="1:13" x14ac:dyDescent="0.25">
      <c r="A321" s="56" t="s">
        <v>380</v>
      </c>
      <c r="B321" s="109" t="s">
        <v>381</v>
      </c>
      <c r="C321" s="125">
        <v>12854</v>
      </c>
      <c r="D321" s="56">
        <v>6</v>
      </c>
      <c r="E321" s="67">
        <v>7.6439999999999998E-3</v>
      </c>
      <c r="M321">
        <v>7.6439999999999998E-3</v>
      </c>
    </row>
    <row r="322" spans="1:13" x14ac:dyDescent="0.25">
      <c r="A322" s="40">
        <v>355</v>
      </c>
      <c r="B322" s="47" t="s">
        <v>382</v>
      </c>
      <c r="C322" s="117">
        <v>6517</v>
      </c>
      <c r="D322" s="40">
        <v>12</v>
      </c>
      <c r="E322" s="67">
        <v>2.6565E-3</v>
      </c>
      <c r="M322">
        <v>2.6565E-3</v>
      </c>
    </row>
    <row r="323" spans="1:13" x14ac:dyDescent="0.25">
      <c r="A323" s="40" t="s">
        <v>383</v>
      </c>
      <c r="B323" s="47" t="s">
        <v>354</v>
      </c>
      <c r="C323" s="117">
        <v>6517</v>
      </c>
      <c r="D323" s="40">
        <v>12</v>
      </c>
      <c r="E323" s="67">
        <v>2.6565E-3</v>
      </c>
      <c r="M323">
        <v>2.6565E-3</v>
      </c>
    </row>
    <row r="324" spans="1:13" x14ac:dyDescent="0.25">
      <c r="A324" s="40">
        <v>356</v>
      </c>
      <c r="B324" s="47" t="s">
        <v>384</v>
      </c>
      <c r="C324" s="117">
        <v>3661</v>
      </c>
      <c r="D324" s="40">
        <v>12</v>
      </c>
      <c r="E324" s="67">
        <v>2.0497199999999997E-3</v>
      </c>
      <c r="M324">
        <v>2.0497199999999997E-3</v>
      </c>
    </row>
    <row r="325" spans="1:13" x14ac:dyDescent="0.25">
      <c r="A325" s="40" t="s">
        <v>385</v>
      </c>
      <c r="B325" s="47" t="s">
        <v>354</v>
      </c>
      <c r="C325" s="117">
        <v>3661</v>
      </c>
      <c r="D325" s="40">
        <v>12</v>
      </c>
      <c r="E325" s="67">
        <v>2.0497199999999997E-3</v>
      </c>
      <c r="M325">
        <v>2.0497199999999997E-3</v>
      </c>
    </row>
    <row r="326" spans="1:13" x14ac:dyDescent="0.25">
      <c r="A326" s="56">
        <v>357</v>
      </c>
      <c r="B326" s="109" t="s">
        <v>386</v>
      </c>
      <c r="C326" s="125">
        <v>3246</v>
      </c>
      <c r="D326" s="56">
        <v>12</v>
      </c>
      <c r="E326" s="67">
        <v>1.1142210000000001E-3</v>
      </c>
      <c r="M326">
        <v>1.1142210000000001E-3</v>
      </c>
    </row>
    <row r="327" spans="1:13" x14ac:dyDescent="0.25">
      <c r="A327" s="40">
        <v>361</v>
      </c>
      <c r="B327" s="47" t="s">
        <v>387</v>
      </c>
      <c r="C327" s="117">
        <v>822</v>
      </c>
      <c r="D327" s="40">
        <v>24</v>
      </c>
      <c r="E327" s="67">
        <v>3.7654199999999995E-4</v>
      </c>
      <c r="M327">
        <v>3.7654199999999995E-4</v>
      </c>
    </row>
    <row r="328" spans="1:13" x14ac:dyDescent="0.25">
      <c r="A328" s="40">
        <v>362</v>
      </c>
      <c r="B328" s="47" t="s">
        <v>388</v>
      </c>
      <c r="C328" s="117">
        <v>2099</v>
      </c>
      <c r="D328" s="40">
        <v>12</v>
      </c>
      <c r="E328" s="67">
        <v>5.9691699999999998E-4</v>
      </c>
      <c r="M328">
        <v>5.9691699999999998E-4</v>
      </c>
    </row>
    <row r="329" spans="1:13" x14ac:dyDescent="0.25">
      <c r="A329" s="40">
        <v>432</v>
      </c>
      <c r="B329" s="47" t="s">
        <v>389</v>
      </c>
      <c r="C329" s="117">
        <v>5012</v>
      </c>
      <c r="D329" s="40">
        <v>12</v>
      </c>
      <c r="E329" s="67">
        <v>7.7031600000000006E-4</v>
      </c>
      <c r="M329">
        <v>7.7031600000000006E-4</v>
      </c>
    </row>
    <row r="330" spans="1:13" x14ac:dyDescent="0.25">
      <c r="A330" s="56">
        <v>590</v>
      </c>
      <c r="B330" s="109" t="s">
        <v>390</v>
      </c>
      <c r="C330" s="125">
        <v>1058</v>
      </c>
      <c r="D330" s="56">
        <v>12</v>
      </c>
      <c r="E330" s="67">
        <v>2.0790000000000001E-4</v>
      </c>
      <c r="M330">
        <v>2.0790000000000001E-4</v>
      </c>
    </row>
    <row r="331" spans="1:13" x14ac:dyDescent="0.25">
      <c r="A331" s="56" t="s">
        <v>391</v>
      </c>
      <c r="B331" s="109" t="s">
        <v>392</v>
      </c>
      <c r="C331" s="125">
        <v>1058</v>
      </c>
      <c r="D331" s="56">
        <v>12</v>
      </c>
      <c r="E331" s="67">
        <v>2.0790000000000001E-4</v>
      </c>
      <c r="M331">
        <v>2.0790000000000001E-4</v>
      </c>
    </row>
    <row r="332" spans="1:13" x14ac:dyDescent="0.25">
      <c r="A332" s="56">
        <v>591</v>
      </c>
      <c r="B332" s="109" t="s">
        <v>393</v>
      </c>
      <c r="C332" s="125">
        <v>2075</v>
      </c>
      <c r="D332" s="56">
        <v>12</v>
      </c>
      <c r="E332" s="67">
        <v>5.0347200000000003E-4</v>
      </c>
      <c r="M332">
        <v>5.0347200000000003E-4</v>
      </c>
    </row>
    <row r="333" spans="1:13" x14ac:dyDescent="0.25">
      <c r="A333" s="56" t="s">
        <v>394</v>
      </c>
      <c r="B333" s="109" t="s">
        <v>392</v>
      </c>
      <c r="C333" s="125">
        <v>2075</v>
      </c>
      <c r="D333" s="56">
        <v>12</v>
      </c>
      <c r="E333" s="67">
        <v>5.0347200000000003E-4</v>
      </c>
      <c r="M333">
        <v>5.0347200000000003E-4</v>
      </c>
    </row>
    <row r="334" spans="1:13" x14ac:dyDescent="0.25">
      <c r="A334" s="56">
        <v>692</v>
      </c>
      <c r="B334" s="156" t="s">
        <v>395</v>
      </c>
      <c r="C334" s="99">
        <v>3108</v>
      </c>
      <c r="D334" s="56">
        <v>12</v>
      </c>
      <c r="E334" s="67">
        <v>7.7620399999999996E-4</v>
      </c>
      <c r="M334">
        <v>7.7620399999999996E-4</v>
      </c>
    </row>
    <row r="335" spans="1:13" x14ac:dyDescent="0.25">
      <c r="A335" s="40">
        <v>810</v>
      </c>
      <c r="B335" s="47" t="s">
        <v>396</v>
      </c>
      <c r="C335" s="117">
        <v>2921</v>
      </c>
      <c r="D335" s="40">
        <v>12</v>
      </c>
      <c r="E335" s="67">
        <v>7.2900000000000005E-4</v>
      </c>
      <c r="M335">
        <v>7.2900000000000005E-4</v>
      </c>
    </row>
    <row r="336" spans="1:13" x14ac:dyDescent="0.25">
      <c r="A336" s="5">
        <v>871</v>
      </c>
      <c r="B336" s="8" t="s">
        <v>397</v>
      </c>
      <c r="C336" s="117">
        <v>1058</v>
      </c>
      <c r="D336" s="157">
        <v>12</v>
      </c>
      <c r="E336" s="67">
        <v>4.2861E-4</v>
      </c>
      <c r="M336">
        <v>4.2861E-4</v>
      </c>
    </row>
    <row r="337" spans="1:13" x14ac:dyDescent="0.25">
      <c r="A337" s="5">
        <v>875</v>
      </c>
      <c r="B337" s="8" t="s">
        <v>398</v>
      </c>
      <c r="C337" s="117">
        <v>2433</v>
      </c>
      <c r="D337" s="157">
        <v>12</v>
      </c>
      <c r="E337" s="67">
        <v>1.3064000000000001E-3</v>
      </c>
      <c r="M337">
        <v>1.3064000000000001E-3</v>
      </c>
    </row>
    <row r="338" spans="1:13" x14ac:dyDescent="0.25">
      <c r="A338" s="5">
        <v>877</v>
      </c>
      <c r="B338" s="8" t="s">
        <v>399</v>
      </c>
      <c r="C338" s="117">
        <v>1822</v>
      </c>
      <c r="D338" s="152">
        <v>12</v>
      </c>
      <c r="E338" s="67" t="e">
        <v>#N/A</v>
      </c>
      <c r="M338" t="e">
        <v>#N/A</v>
      </c>
    </row>
    <row r="339" spans="1:13" x14ac:dyDescent="0.25">
      <c r="A339" s="40">
        <v>751</v>
      </c>
      <c r="B339" s="47" t="s">
        <v>400</v>
      </c>
      <c r="C339" s="125">
        <v>1749.154</v>
      </c>
      <c r="D339" s="4">
        <v>12</v>
      </c>
      <c r="E339" s="67">
        <v>4.8125000000000002E-4</v>
      </c>
      <c r="M339">
        <v>4.8125000000000002E-4</v>
      </c>
    </row>
    <row r="340" spans="1:13" x14ac:dyDescent="0.25">
      <c r="A340" s="40">
        <v>752</v>
      </c>
      <c r="B340" s="47" t="s">
        <v>401</v>
      </c>
      <c r="C340" s="125">
        <v>2196.6120000000001</v>
      </c>
      <c r="D340" s="4">
        <v>12</v>
      </c>
      <c r="E340" s="67">
        <v>8.2891699999999998E-4</v>
      </c>
      <c r="M340">
        <v>8.2891699999999998E-4</v>
      </c>
    </row>
    <row r="341" spans="1:13" x14ac:dyDescent="0.25">
      <c r="A341" s="40">
        <v>753</v>
      </c>
      <c r="B341" s="47" t="s">
        <v>402</v>
      </c>
      <c r="C341" s="125">
        <v>2212.8831999999998</v>
      </c>
      <c r="D341" s="4">
        <v>12</v>
      </c>
      <c r="E341" s="67">
        <v>5.5900000000000004E-4</v>
      </c>
      <c r="M341">
        <v>5.5900000000000004E-4</v>
      </c>
    </row>
    <row r="342" spans="1:13" x14ac:dyDescent="0.25">
      <c r="A342" s="40">
        <v>754</v>
      </c>
      <c r="B342" s="47" t="s">
        <v>403</v>
      </c>
      <c r="C342" s="125">
        <v>2212.8831999999998</v>
      </c>
      <c r="D342" s="4">
        <v>12</v>
      </c>
      <c r="E342" s="67">
        <v>5.8724000000000005E-4</v>
      </c>
      <c r="M342">
        <v>5.8724000000000005E-4</v>
      </c>
    </row>
    <row r="343" spans="1:13" x14ac:dyDescent="0.25">
      <c r="A343" s="40">
        <v>756</v>
      </c>
      <c r="B343" s="47" t="s">
        <v>404</v>
      </c>
      <c r="C343" s="125">
        <v>2237.29</v>
      </c>
      <c r="D343" s="4">
        <v>12</v>
      </c>
      <c r="E343" s="67">
        <v>1.0142999999999999E-3</v>
      </c>
      <c r="M343">
        <v>1.0142999999999999E-3</v>
      </c>
    </row>
    <row r="344" spans="1:13" x14ac:dyDescent="0.25">
      <c r="A344" s="40">
        <v>757</v>
      </c>
      <c r="B344" s="47" t="s">
        <v>405</v>
      </c>
      <c r="C344" s="125">
        <v>2375.5952000000002</v>
      </c>
      <c r="D344" s="4">
        <v>12</v>
      </c>
      <c r="E344" s="67">
        <v>1.225E-3</v>
      </c>
      <c r="M344">
        <v>1.225E-3</v>
      </c>
    </row>
    <row r="345" spans="1:13" x14ac:dyDescent="0.25">
      <c r="A345" s="40" t="s">
        <v>406</v>
      </c>
      <c r="B345" s="47" t="s">
        <v>407</v>
      </c>
      <c r="C345" s="125">
        <v>2310.5104000000001</v>
      </c>
      <c r="D345" s="4">
        <v>12</v>
      </c>
      <c r="E345" s="67">
        <v>1.078E-3</v>
      </c>
      <c r="M345">
        <v>1.078E-3</v>
      </c>
    </row>
    <row r="346" spans="1:13" x14ac:dyDescent="0.25">
      <c r="A346" s="40" t="s">
        <v>408</v>
      </c>
      <c r="B346" s="47" t="s">
        <v>409</v>
      </c>
      <c r="C346" s="125">
        <v>2546.4428000000003</v>
      </c>
      <c r="D346" s="4">
        <v>12</v>
      </c>
      <c r="E346" s="67">
        <v>1.3531559999999999E-3</v>
      </c>
      <c r="M346">
        <v>1.3531559999999999E-3</v>
      </c>
    </row>
    <row r="347" spans="1:13" x14ac:dyDescent="0.25">
      <c r="A347" s="40">
        <v>761</v>
      </c>
      <c r="B347" s="47" t="s">
        <v>410</v>
      </c>
      <c r="C347" s="125">
        <v>2033.9</v>
      </c>
      <c r="D347" s="4">
        <v>12</v>
      </c>
      <c r="E347" s="67">
        <v>1.81485E-3</v>
      </c>
      <c r="M347">
        <v>1.81485E-3</v>
      </c>
    </row>
    <row r="348" spans="1:13" x14ac:dyDescent="0.25">
      <c r="A348" s="40">
        <v>762</v>
      </c>
      <c r="B348" s="47" t="s">
        <v>411</v>
      </c>
      <c r="C348" s="125">
        <v>2310.5104000000001</v>
      </c>
      <c r="D348" s="4">
        <v>12</v>
      </c>
      <c r="E348" s="67">
        <v>2.4921880000000002E-3</v>
      </c>
      <c r="M348">
        <v>2.4921880000000002E-3</v>
      </c>
    </row>
    <row r="349" spans="1:13" x14ac:dyDescent="0.25">
      <c r="A349" s="40">
        <v>766</v>
      </c>
      <c r="B349" s="47" t="s">
        <v>412</v>
      </c>
      <c r="C349" s="125">
        <v>2920.6804000000002</v>
      </c>
      <c r="D349" s="4">
        <v>12</v>
      </c>
      <c r="E349" s="67">
        <v>2.9620320000000003E-3</v>
      </c>
      <c r="M349">
        <v>2.9620320000000003E-3</v>
      </c>
    </row>
    <row r="350" spans="1:13" x14ac:dyDescent="0.25">
      <c r="A350" s="40">
        <v>767</v>
      </c>
      <c r="B350" s="47" t="s">
        <v>413</v>
      </c>
      <c r="C350" s="125">
        <v>3766.7828000000004</v>
      </c>
      <c r="D350" s="4">
        <v>6</v>
      </c>
      <c r="E350" s="67">
        <v>4.235E-3</v>
      </c>
      <c r="M350">
        <v>4.235E-3</v>
      </c>
    </row>
    <row r="351" spans="1:13" x14ac:dyDescent="0.25">
      <c r="A351" s="40">
        <v>768</v>
      </c>
      <c r="B351" s="47" t="s">
        <v>414</v>
      </c>
      <c r="C351" s="125">
        <v>4555.9359999999997</v>
      </c>
      <c r="D351" s="4">
        <v>6</v>
      </c>
      <c r="E351" s="67">
        <v>7.058333E-3</v>
      </c>
      <c r="M351">
        <v>7.058333E-3</v>
      </c>
    </row>
    <row r="352" spans="1:13" x14ac:dyDescent="0.25">
      <c r="A352" s="53" t="s">
        <v>415</v>
      </c>
      <c r="B352" s="43" t="s">
        <v>416</v>
      </c>
      <c r="C352" s="158">
        <v>5950</v>
      </c>
      <c r="D352" s="4">
        <v>12</v>
      </c>
      <c r="E352" s="67">
        <v>1.234333E-3</v>
      </c>
      <c r="M352">
        <v>1.234333E-3</v>
      </c>
    </row>
    <row r="353" spans="1:13" x14ac:dyDescent="0.25">
      <c r="A353" s="53" t="s">
        <v>417</v>
      </c>
      <c r="B353" s="43" t="s">
        <v>418</v>
      </c>
      <c r="C353" s="158">
        <v>5950</v>
      </c>
      <c r="D353" s="4">
        <v>12</v>
      </c>
      <c r="E353" s="67">
        <v>1.234333E-3</v>
      </c>
      <c r="M353">
        <v>1.234333E-3</v>
      </c>
    </row>
    <row r="354" spans="1:13" x14ac:dyDescent="0.25">
      <c r="A354" s="53" t="s">
        <v>419</v>
      </c>
      <c r="B354" s="43" t="s">
        <v>420</v>
      </c>
      <c r="C354" s="158">
        <v>5950</v>
      </c>
      <c r="D354" s="4">
        <v>12</v>
      </c>
      <c r="E354" s="67">
        <v>1.234333E-3</v>
      </c>
      <c r="M354">
        <v>1.234333E-3</v>
      </c>
    </row>
    <row r="355" spans="1:13" x14ac:dyDescent="0.25">
      <c r="A355" s="53" t="s">
        <v>421</v>
      </c>
      <c r="B355" s="43" t="s">
        <v>422</v>
      </c>
      <c r="C355" s="158">
        <v>4450</v>
      </c>
      <c r="D355" s="4">
        <v>12</v>
      </c>
      <c r="E355" s="67">
        <v>1.234333E-3</v>
      </c>
      <c r="M355">
        <v>1.234333E-3</v>
      </c>
    </row>
    <row r="356" spans="1:13" x14ac:dyDescent="0.25">
      <c r="A356" s="53" t="s">
        <v>423</v>
      </c>
      <c r="B356" s="43" t="s">
        <v>424</v>
      </c>
      <c r="C356" s="158">
        <v>4450</v>
      </c>
      <c r="D356" s="4">
        <v>12</v>
      </c>
      <c r="E356" s="67">
        <v>1.234333E-3</v>
      </c>
      <c r="M356">
        <v>1.234333E-3</v>
      </c>
    </row>
    <row r="357" spans="1:13" x14ac:dyDescent="0.25">
      <c r="A357" s="53" t="s">
        <v>425</v>
      </c>
      <c r="B357" s="43" t="s">
        <v>426</v>
      </c>
      <c r="C357" s="158">
        <v>4450</v>
      </c>
      <c r="D357" s="4">
        <v>12</v>
      </c>
      <c r="E357" s="67">
        <v>1.234333E-3</v>
      </c>
      <c r="M357">
        <v>1.234333E-3</v>
      </c>
    </row>
    <row r="358" spans="1:13" x14ac:dyDescent="0.25">
      <c r="A358" s="40" t="s">
        <v>427</v>
      </c>
      <c r="B358" s="47" t="s">
        <v>428</v>
      </c>
      <c r="C358" s="155">
        <v>4503.4482758620688</v>
      </c>
      <c r="D358" s="4">
        <v>12</v>
      </c>
      <c r="E358" s="67">
        <v>3.1783130000000003E-3</v>
      </c>
      <c r="M358">
        <v>3.1783130000000003E-3</v>
      </c>
    </row>
    <row r="359" spans="1:13" x14ac:dyDescent="0.25">
      <c r="A359" s="40" t="s">
        <v>429</v>
      </c>
      <c r="B359" s="47" t="s">
        <v>430</v>
      </c>
      <c r="C359" s="155">
        <v>2750</v>
      </c>
      <c r="D359" s="4">
        <v>24</v>
      </c>
      <c r="E359" s="67">
        <v>1.8508750000000001E-3</v>
      </c>
      <c r="M359">
        <v>1.8508750000000001E-3</v>
      </c>
    </row>
    <row r="360" spans="1:13" x14ac:dyDescent="0.25">
      <c r="A360" s="40" t="s">
        <v>431</v>
      </c>
      <c r="B360" s="47" t="s">
        <v>432</v>
      </c>
      <c r="C360" s="155">
        <v>2568.9655172413795</v>
      </c>
      <c r="D360" s="4">
        <v>24</v>
      </c>
      <c r="E360" s="67">
        <v>4.5082799999999996E-4</v>
      </c>
      <c r="M360">
        <v>4.5082799999999996E-4</v>
      </c>
    </row>
    <row r="361" spans="1:13" x14ac:dyDescent="0.25">
      <c r="A361" s="40" t="s">
        <v>433</v>
      </c>
      <c r="B361" s="47" t="s">
        <v>434</v>
      </c>
      <c r="C361" s="155">
        <v>2568.9655172413795</v>
      </c>
      <c r="D361" s="4">
        <v>24</v>
      </c>
      <c r="E361" s="67">
        <v>4.5082799999999996E-4</v>
      </c>
      <c r="M361">
        <v>4.5082799999999996E-4</v>
      </c>
    </row>
    <row r="362" spans="1:13" x14ac:dyDescent="0.25">
      <c r="A362" s="40" t="s">
        <v>435</v>
      </c>
      <c r="B362" s="47" t="s">
        <v>436</v>
      </c>
      <c r="C362" s="155">
        <v>4772.4137931034484</v>
      </c>
      <c r="D362" s="4">
        <v>36</v>
      </c>
      <c r="E362" s="67">
        <v>8.7067999999999998E-4</v>
      </c>
      <c r="M362">
        <v>8.7067999999999998E-4</v>
      </c>
    </row>
    <row r="363" spans="1:13" x14ac:dyDescent="0.25">
      <c r="A363" s="40" t="s">
        <v>437</v>
      </c>
      <c r="B363" s="47" t="s">
        <v>438</v>
      </c>
      <c r="C363" s="155">
        <v>4772.4137931034484</v>
      </c>
      <c r="D363" s="4">
        <v>36</v>
      </c>
      <c r="E363" s="67">
        <v>8.7067999999999998E-4</v>
      </c>
      <c r="M363">
        <v>8.7067999999999998E-4</v>
      </c>
    </row>
    <row r="364" spans="1:13" x14ac:dyDescent="0.25">
      <c r="A364" s="40" t="s">
        <v>439</v>
      </c>
      <c r="B364" s="47" t="s">
        <v>440</v>
      </c>
      <c r="C364" s="155">
        <v>5358.620689655173</v>
      </c>
      <c r="D364" s="4">
        <v>24</v>
      </c>
      <c r="E364" s="67">
        <v>2.2608200000000002E-3</v>
      </c>
      <c r="M364">
        <v>2.2608200000000002E-3</v>
      </c>
    </row>
    <row r="365" spans="1:13" x14ac:dyDescent="0.25">
      <c r="A365" s="40" t="s">
        <v>441</v>
      </c>
      <c r="B365" s="47" t="s">
        <v>442</v>
      </c>
      <c r="C365" s="155">
        <v>5358.620689655173</v>
      </c>
      <c r="D365" s="4">
        <v>24</v>
      </c>
      <c r="E365" s="67">
        <v>2.2608200000000002E-3</v>
      </c>
      <c r="M365">
        <v>2.2608200000000002E-3</v>
      </c>
    </row>
    <row r="366" spans="1:13" x14ac:dyDescent="0.25">
      <c r="A366" s="159" t="s">
        <v>443</v>
      </c>
      <c r="B366" s="160" t="s">
        <v>444</v>
      </c>
      <c r="C366" s="161">
        <v>3991.9762079999996</v>
      </c>
      <c r="D366" s="5">
        <v>48</v>
      </c>
      <c r="E366" s="67">
        <v>2.8E-3</v>
      </c>
      <c r="M366">
        <v>2.8E-3</v>
      </c>
    </row>
    <row r="367" spans="1:13" x14ac:dyDescent="0.25">
      <c r="A367" s="5">
        <v>602</v>
      </c>
      <c r="B367" s="8" t="s">
        <v>795</v>
      </c>
      <c r="C367" s="99">
        <v>3644.7487999999998</v>
      </c>
      <c r="D367" s="5">
        <v>12</v>
      </c>
      <c r="E367" s="67">
        <v>7.3130499999999991E-4</v>
      </c>
      <c r="M367">
        <v>7.3130499999999991E-4</v>
      </c>
    </row>
    <row r="368" spans="1:13" x14ac:dyDescent="0.25">
      <c r="A368" s="5" t="s">
        <v>445</v>
      </c>
      <c r="B368" s="8" t="s">
        <v>446</v>
      </c>
      <c r="C368" s="99">
        <v>3644.7487999999998</v>
      </c>
      <c r="D368" s="5">
        <v>12</v>
      </c>
      <c r="E368" s="67">
        <v>7.3130499999999991E-4</v>
      </c>
      <c r="M368">
        <v>7.3130499999999991E-4</v>
      </c>
    </row>
    <row r="369" spans="1:13" x14ac:dyDescent="0.25">
      <c r="A369" s="5">
        <v>603</v>
      </c>
      <c r="B369" s="8" t="s">
        <v>447</v>
      </c>
      <c r="C369" s="99">
        <v>5369.4960000000001</v>
      </c>
      <c r="D369" s="5">
        <v>6</v>
      </c>
      <c r="E369" s="67">
        <v>1.2871149999999999E-3</v>
      </c>
      <c r="M369">
        <v>1.2871149999999999E-3</v>
      </c>
    </row>
    <row r="370" spans="1:13" x14ac:dyDescent="0.25">
      <c r="A370" s="5" t="s">
        <v>448</v>
      </c>
      <c r="B370" s="8" t="s">
        <v>449</v>
      </c>
      <c r="C370" s="99">
        <v>5369.4960000000001</v>
      </c>
      <c r="D370" s="5">
        <v>6</v>
      </c>
      <c r="E370" s="67">
        <v>1.2871149999999999E-3</v>
      </c>
      <c r="M370">
        <v>1.2871149999999999E-3</v>
      </c>
    </row>
    <row r="371" spans="1:13" x14ac:dyDescent="0.25">
      <c r="A371" s="5">
        <v>604</v>
      </c>
      <c r="B371" s="8" t="s">
        <v>450</v>
      </c>
      <c r="C371" s="99">
        <v>8176.2780000000002</v>
      </c>
      <c r="D371" s="5">
        <v>6</v>
      </c>
      <c r="E371" s="67">
        <v>3.2451900000000002E-3</v>
      </c>
      <c r="M371">
        <v>3.2451900000000002E-3</v>
      </c>
    </row>
    <row r="372" spans="1:13" x14ac:dyDescent="0.25">
      <c r="A372" s="5" t="s">
        <v>451</v>
      </c>
      <c r="B372" s="8" t="s">
        <v>452</v>
      </c>
      <c r="C372" s="99">
        <v>8168.1423999999997</v>
      </c>
      <c r="D372" s="5">
        <v>6</v>
      </c>
      <c r="E372" s="67">
        <v>3.2451900000000002E-3</v>
      </c>
      <c r="M372">
        <v>3.2451900000000002E-3</v>
      </c>
    </row>
    <row r="373" spans="1:13" x14ac:dyDescent="0.25">
      <c r="A373" s="162">
        <v>607</v>
      </c>
      <c r="B373" s="141" t="s">
        <v>453</v>
      </c>
      <c r="C373" s="163">
        <v>16677.98</v>
      </c>
      <c r="D373" s="162">
        <v>6</v>
      </c>
      <c r="E373" s="67">
        <v>2.2769999999999999E-2</v>
      </c>
      <c r="M373">
        <v>2.2769999999999999E-2</v>
      </c>
    </row>
    <row r="374" spans="1:13" x14ac:dyDescent="0.25">
      <c r="A374" s="5" t="s">
        <v>454</v>
      </c>
      <c r="B374" s="8" t="s">
        <v>455</v>
      </c>
      <c r="C374" s="99">
        <v>16677.98</v>
      </c>
      <c r="D374" s="5">
        <v>6</v>
      </c>
      <c r="E374" s="67">
        <v>2.2769999999999999E-2</v>
      </c>
      <c r="M374">
        <v>2.2769999999999999E-2</v>
      </c>
    </row>
    <row r="375" spans="1:13" x14ac:dyDescent="0.25">
      <c r="A375" s="5">
        <v>620</v>
      </c>
      <c r="B375" s="8" t="s">
        <v>456</v>
      </c>
      <c r="C375" s="99">
        <v>8623.7360000000008</v>
      </c>
      <c r="D375" s="5">
        <v>6</v>
      </c>
      <c r="E375" s="67">
        <v>4.4556600000000002E-3</v>
      </c>
      <c r="M375">
        <v>4.4556600000000002E-3</v>
      </c>
    </row>
    <row r="376" spans="1:13" x14ac:dyDescent="0.25">
      <c r="A376" s="164" t="s">
        <v>457</v>
      </c>
      <c r="B376" s="145" t="s">
        <v>458</v>
      </c>
      <c r="C376" s="165">
        <v>8623.7360000000008</v>
      </c>
      <c r="D376" s="164">
        <v>6</v>
      </c>
      <c r="E376" s="67">
        <v>4.3752499999999998E-3</v>
      </c>
      <c r="M376">
        <v>4.3752499999999998E-3</v>
      </c>
    </row>
    <row r="377" spans="1:13" x14ac:dyDescent="0.25">
      <c r="A377" s="50">
        <v>610</v>
      </c>
      <c r="B377" s="166" t="s">
        <v>459</v>
      </c>
      <c r="C377" s="167">
        <v>4555.9359999999997</v>
      </c>
      <c r="D377" s="50">
        <v>6</v>
      </c>
      <c r="E377" s="67">
        <v>1.1907199999999999E-3</v>
      </c>
      <c r="M377">
        <v>1.1907199999999999E-3</v>
      </c>
    </row>
    <row r="378" spans="1:13" x14ac:dyDescent="0.25">
      <c r="A378" s="5" t="s">
        <v>460</v>
      </c>
      <c r="B378" s="8" t="s">
        <v>461</v>
      </c>
      <c r="C378" s="99">
        <v>4555.9359999999997</v>
      </c>
      <c r="D378" s="5">
        <v>6</v>
      </c>
      <c r="E378" s="67">
        <v>1.1907199999999999E-3</v>
      </c>
      <c r="M378">
        <v>1.1907199999999999E-3</v>
      </c>
    </row>
    <row r="379" spans="1:13" x14ac:dyDescent="0.25">
      <c r="A379" s="5">
        <v>615</v>
      </c>
      <c r="B379" s="8" t="s">
        <v>462</v>
      </c>
      <c r="C379" s="99">
        <v>7484.7519999999995</v>
      </c>
      <c r="D379" s="5">
        <v>6</v>
      </c>
      <c r="E379" s="67">
        <v>1.8905419999999998E-3</v>
      </c>
      <c r="M379">
        <v>1.8905419999999998E-3</v>
      </c>
    </row>
    <row r="380" spans="1:13" x14ac:dyDescent="0.25">
      <c r="A380" s="5" t="s">
        <v>463</v>
      </c>
      <c r="B380" s="8" t="s">
        <v>464</v>
      </c>
      <c r="C380" s="99">
        <v>7484.7519999999995</v>
      </c>
      <c r="D380" s="5">
        <v>6</v>
      </c>
      <c r="E380" s="67">
        <v>1.8905419999999998E-3</v>
      </c>
      <c r="M380">
        <v>1.8905419999999998E-3</v>
      </c>
    </row>
    <row r="381" spans="1:13" x14ac:dyDescent="0.25">
      <c r="A381" s="5">
        <v>909</v>
      </c>
      <c r="B381" s="8" t="s">
        <v>465</v>
      </c>
      <c r="C381" s="99">
        <v>6800</v>
      </c>
      <c r="D381" s="5">
        <v>12</v>
      </c>
      <c r="E381" s="67">
        <v>1.311032E-3</v>
      </c>
      <c r="M381">
        <v>1.311032E-3</v>
      </c>
    </row>
    <row r="382" spans="1:13" x14ac:dyDescent="0.25">
      <c r="A382" s="5">
        <v>898</v>
      </c>
      <c r="B382" s="47" t="s">
        <v>466</v>
      </c>
      <c r="C382" s="106">
        <v>1496.9504000000002</v>
      </c>
      <c r="D382" s="152">
        <v>12</v>
      </c>
      <c r="E382" s="67">
        <v>6.3997499999999998E-4</v>
      </c>
      <c r="M382">
        <v>6.3997499999999998E-4</v>
      </c>
    </row>
    <row r="383" spans="1:13" x14ac:dyDescent="0.25">
      <c r="A383" s="153" t="s">
        <v>467</v>
      </c>
      <c r="B383" s="47" t="s">
        <v>468</v>
      </c>
      <c r="C383" s="106">
        <v>1496.9504000000002</v>
      </c>
      <c r="D383" s="152">
        <v>12</v>
      </c>
      <c r="E383" s="67">
        <v>6.3997499999999998E-4</v>
      </c>
      <c r="M383">
        <v>6.3997499999999998E-4</v>
      </c>
    </row>
    <row r="384" spans="1:13" x14ac:dyDescent="0.25">
      <c r="A384" s="48">
        <v>210</v>
      </c>
      <c r="B384" s="49" t="s">
        <v>469</v>
      </c>
      <c r="C384" s="154">
        <v>5369.4960000000001</v>
      </c>
      <c r="D384" s="48">
        <v>6</v>
      </c>
      <c r="E384" s="67">
        <v>1.9778650000000001E-3</v>
      </c>
      <c r="M384">
        <v>1.9778650000000001E-3</v>
      </c>
    </row>
    <row r="385" spans="1:13" x14ac:dyDescent="0.25">
      <c r="A385" s="48" t="s">
        <v>470</v>
      </c>
      <c r="B385" s="49" t="s">
        <v>471</v>
      </c>
      <c r="C385" s="154">
        <v>5369.4960000000001</v>
      </c>
      <c r="D385" s="48">
        <v>6</v>
      </c>
      <c r="E385" s="67">
        <v>1.9778650000000001E-3</v>
      </c>
      <c r="M385">
        <v>1.9778650000000001E-3</v>
      </c>
    </row>
    <row r="386" spans="1:13" x14ac:dyDescent="0.25">
      <c r="A386" s="5">
        <v>220</v>
      </c>
      <c r="B386" s="49" t="s">
        <v>472</v>
      </c>
      <c r="C386" s="151">
        <v>7590.5148000000008</v>
      </c>
      <c r="D386" s="41">
        <v>6</v>
      </c>
      <c r="E386" s="67">
        <v>3.072062E-3</v>
      </c>
      <c r="M386">
        <v>3.072062E-3</v>
      </c>
    </row>
    <row r="387" spans="1:13" x14ac:dyDescent="0.25">
      <c r="A387" s="50" t="s">
        <v>473</v>
      </c>
      <c r="B387" s="49" t="s">
        <v>474</v>
      </c>
      <c r="C387" s="117">
        <v>7590.5148000000008</v>
      </c>
      <c r="D387" s="40">
        <v>6</v>
      </c>
      <c r="E387" s="67">
        <v>3.072062E-3</v>
      </c>
      <c r="M387">
        <v>3.072062E-3</v>
      </c>
    </row>
    <row r="388" spans="1:13" x14ac:dyDescent="0.25">
      <c r="A388" s="40">
        <v>230</v>
      </c>
      <c r="B388" s="49" t="s">
        <v>475</v>
      </c>
      <c r="C388" s="117">
        <v>13016.960000000001</v>
      </c>
      <c r="D388" s="41">
        <v>6</v>
      </c>
      <c r="E388" s="67">
        <v>5.7027650000000003E-3</v>
      </c>
      <c r="M388">
        <v>5.7027650000000003E-3</v>
      </c>
    </row>
    <row r="389" spans="1:13" x14ac:dyDescent="0.25">
      <c r="A389" s="48" t="s">
        <v>476</v>
      </c>
      <c r="B389" s="49" t="s">
        <v>477</v>
      </c>
      <c r="C389" s="154">
        <v>13016.960000000001</v>
      </c>
      <c r="D389" s="48">
        <v>6</v>
      </c>
      <c r="E389" s="67">
        <v>5.7027650000000003E-3</v>
      </c>
      <c r="M389">
        <v>5.7027650000000003E-3</v>
      </c>
    </row>
    <row r="390" spans="1:13" x14ac:dyDescent="0.25">
      <c r="A390" s="51" t="s">
        <v>478</v>
      </c>
      <c r="B390" s="52" t="s">
        <v>479</v>
      </c>
      <c r="C390" s="140">
        <v>5125.4279999999999</v>
      </c>
      <c r="D390" s="51">
        <v>6</v>
      </c>
      <c r="E390" s="67">
        <v>2.0154999999999999E-3</v>
      </c>
      <c r="M390">
        <v>2.0154999999999999E-3</v>
      </c>
    </row>
    <row r="391" spans="1:13" x14ac:dyDescent="0.25">
      <c r="A391" s="51">
        <v>234</v>
      </c>
      <c r="B391" s="168" t="s">
        <v>480</v>
      </c>
      <c r="C391" s="169">
        <v>12122.044000000002</v>
      </c>
      <c r="D391" s="55">
        <v>6</v>
      </c>
      <c r="E391" s="67">
        <v>3.0000000000000001E-3</v>
      </c>
      <c r="M391">
        <v>3.0000000000000001E-3</v>
      </c>
    </row>
    <row r="392" spans="1:13" x14ac:dyDescent="0.25">
      <c r="A392" s="40" t="s">
        <v>481</v>
      </c>
      <c r="B392" s="47" t="s">
        <v>482</v>
      </c>
      <c r="C392" s="155">
        <v>12122.044000000002</v>
      </c>
      <c r="D392" s="40">
        <v>6</v>
      </c>
      <c r="E392" s="67">
        <v>3.0000000000000001E-3</v>
      </c>
      <c r="M392">
        <v>3.0000000000000001E-3</v>
      </c>
    </row>
    <row r="393" spans="1:13" x14ac:dyDescent="0.25">
      <c r="A393" s="48">
        <v>237</v>
      </c>
      <c r="B393" s="46" t="s">
        <v>483</v>
      </c>
      <c r="C393" s="170">
        <v>6752.5479999999998</v>
      </c>
      <c r="D393" s="45">
        <v>6</v>
      </c>
      <c r="E393" s="67">
        <v>3.7364999999999998E-3</v>
      </c>
      <c r="M393">
        <v>3.7364999999999998E-3</v>
      </c>
    </row>
    <row r="394" spans="1:13" x14ac:dyDescent="0.25">
      <c r="A394" s="48" t="s">
        <v>484</v>
      </c>
      <c r="B394" s="47" t="s">
        <v>485</v>
      </c>
      <c r="C394" s="117">
        <v>6752.5479999999998</v>
      </c>
      <c r="D394" s="40">
        <v>6</v>
      </c>
      <c r="E394" s="67">
        <v>3.7000000000000002E-3</v>
      </c>
      <c r="M394">
        <v>3.7000000000000002E-3</v>
      </c>
    </row>
    <row r="395" spans="1:13" x14ac:dyDescent="0.25">
      <c r="A395" s="51">
        <v>238</v>
      </c>
      <c r="B395" s="52" t="s">
        <v>486</v>
      </c>
      <c r="C395" s="140">
        <v>5532.2080000000005</v>
      </c>
      <c r="D395" s="51">
        <v>6</v>
      </c>
      <c r="E395" s="67">
        <v>2.7941669999999997E-3</v>
      </c>
      <c r="M395">
        <v>2.7941669999999997E-3</v>
      </c>
    </row>
    <row r="396" spans="1:13" x14ac:dyDescent="0.25">
      <c r="A396" s="40" t="s">
        <v>487</v>
      </c>
      <c r="B396" s="47" t="s">
        <v>486</v>
      </c>
      <c r="C396" s="117">
        <v>5532.2080000000005</v>
      </c>
      <c r="D396" s="40">
        <v>6</v>
      </c>
      <c r="E396" s="67">
        <v>2.8E-3</v>
      </c>
      <c r="M396">
        <v>2.8E-3</v>
      </c>
    </row>
    <row r="397" spans="1:13" x14ac:dyDescent="0.25">
      <c r="A397" s="48">
        <v>240</v>
      </c>
      <c r="B397" s="49" t="s">
        <v>488</v>
      </c>
      <c r="C397" s="117">
        <v>4637.2919999999995</v>
      </c>
      <c r="D397" s="41">
        <v>6</v>
      </c>
      <c r="E397" s="67">
        <v>1.86542E-3</v>
      </c>
      <c r="M397">
        <v>1.86542E-3</v>
      </c>
    </row>
    <row r="398" spans="1:13" x14ac:dyDescent="0.25">
      <c r="A398" s="48" t="s">
        <v>489</v>
      </c>
      <c r="B398" s="49" t="s">
        <v>490</v>
      </c>
      <c r="C398" s="151">
        <v>4637.2919999999995</v>
      </c>
      <c r="D398" s="41">
        <v>6</v>
      </c>
      <c r="E398" s="67">
        <v>1.86542E-3</v>
      </c>
      <c r="M398">
        <v>1.86542E-3</v>
      </c>
    </row>
    <row r="399" spans="1:13" x14ac:dyDescent="0.25">
      <c r="A399" s="48">
        <v>245</v>
      </c>
      <c r="B399" s="49" t="s">
        <v>491</v>
      </c>
      <c r="C399" s="151">
        <v>6663.0564000000004</v>
      </c>
      <c r="D399" s="41">
        <v>6</v>
      </c>
      <c r="E399" s="67">
        <v>2.5451999999999996E-3</v>
      </c>
      <c r="M399">
        <v>2.5451999999999996E-3</v>
      </c>
    </row>
    <row r="400" spans="1:13" x14ac:dyDescent="0.25">
      <c r="A400" s="45" t="s">
        <v>492</v>
      </c>
      <c r="B400" s="49" t="s">
        <v>493</v>
      </c>
      <c r="C400" s="151">
        <v>6663.0564000000004</v>
      </c>
      <c r="D400" s="41">
        <v>6</v>
      </c>
      <c r="E400" s="67">
        <v>2.5451999999999996E-3</v>
      </c>
      <c r="M400">
        <v>2.5451999999999996E-3</v>
      </c>
    </row>
    <row r="401" spans="1:13" x14ac:dyDescent="0.25">
      <c r="A401" s="40">
        <v>250</v>
      </c>
      <c r="B401" s="46" t="s">
        <v>494</v>
      </c>
      <c r="C401" s="150">
        <v>8135.6</v>
      </c>
      <c r="D401" s="54">
        <v>6</v>
      </c>
      <c r="E401" s="67">
        <v>3.1507939999999997E-3</v>
      </c>
      <c r="M401">
        <v>3.1507939999999997E-3</v>
      </c>
    </row>
    <row r="402" spans="1:13" x14ac:dyDescent="0.25">
      <c r="A402" s="51" t="s">
        <v>495</v>
      </c>
      <c r="B402" s="52" t="s">
        <v>496</v>
      </c>
      <c r="C402" s="140">
        <v>8135.6</v>
      </c>
      <c r="D402" s="51">
        <v>6</v>
      </c>
      <c r="E402" s="67">
        <v>3.1507939999999997E-3</v>
      </c>
      <c r="M402">
        <v>3.1507939999999997E-3</v>
      </c>
    </row>
    <row r="403" spans="1:13" x14ac:dyDescent="0.25">
      <c r="A403" s="51">
        <v>260</v>
      </c>
      <c r="B403" s="47" t="s">
        <v>497</v>
      </c>
      <c r="C403" s="171">
        <v>13667.807999999999</v>
      </c>
      <c r="D403" s="55">
        <v>6</v>
      </c>
      <c r="E403" s="67">
        <v>6.4458329999999998E-3</v>
      </c>
      <c r="M403">
        <v>6.4458329999999998E-3</v>
      </c>
    </row>
    <row r="404" spans="1:13" x14ac:dyDescent="0.25">
      <c r="A404" s="40" t="s">
        <v>498</v>
      </c>
      <c r="B404" s="47" t="s">
        <v>499</v>
      </c>
      <c r="C404" s="117">
        <v>13667.807999999999</v>
      </c>
      <c r="D404" s="40">
        <v>6</v>
      </c>
      <c r="E404" s="67">
        <v>6.4458329999999998E-3</v>
      </c>
      <c r="M404">
        <v>6.4458329999999998E-3</v>
      </c>
    </row>
    <row r="405" spans="1:13" x14ac:dyDescent="0.25">
      <c r="A405" s="48">
        <v>258</v>
      </c>
      <c r="B405" s="49" t="s">
        <v>500</v>
      </c>
      <c r="C405" s="154">
        <v>4108.4780000000001</v>
      </c>
      <c r="D405" s="48">
        <v>12</v>
      </c>
      <c r="E405" s="67">
        <v>3.4081669999999997E-3</v>
      </c>
      <c r="M405">
        <v>3.4081669999999997E-3</v>
      </c>
    </row>
    <row r="406" spans="1:13" x14ac:dyDescent="0.25">
      <c r="A406" s="45">
        <v>267</v>
      </c>
      <c r="B406" s="46" t="s">
        <v>501</v>
      </c>
      <c r="C406" s="170">
        <v>3905.0880000000002</v>
      </c>
      <c r="D406" s="45">
        <v>12</v>
      </c>
      <c r="E406" s="67">
        <v>3.4081669999999997E-3</v>
      </c>
      <c r="M406">
        <v>3.4081669999999997E-3</v>
      </c>
    </row>
    <row r="407" spans="1:13" x14ac:dyDescent="0.25">
      <c r="A407" s="40">
        <v>268</v>
      </c>
      <c r="B407" s="47" t="s">
        <v>502</v>
      </c>
      <c r="C407" s="117">
        <v>3254</v>
      </c>
      <c r="D407" s="40">
        <v>12</v>
      </c>
      <c r="E407" s="67">
        <v>2.9252499999999999E-3</v>
      </c>
      <c r="M407">
        <v>2.9252499999999999E-3</v>
      </c>
    </row>
    <row r="408" spans="1:13" x14ac:dyDescent="0.25">
      <c r="A408" s="172" t="s">
        <v>503</v>
      </c>
      <c r="B408" s="173" t="s">
        <v>504</v>
      </c>
      <c r="C408" s="154">
        <v>2522.0360000000005</v>
      </c>
      <c r="D408" s="174">
        <v>12</v>
      </c>
      <c r="E408" s="67">
        <v>5.5128800000000004E-4</v>
      </c>
      <c r="M408">
        <v>5.5128800000000004E-4</v>
      </c>
    </row>
    <row r="409" spans="1:13" x14ac:dyDescent="0.25">
      <c r="A409" s="172" t="s">
        <v>505</v>
      </c>
      <c r="B409" s="173" t="s">
        <v>506</v>
      </c>
      <c r="C409" s="154">
        <v>2522.0360000000005</v>
      </c>
      <c r="D409" s="174">
        <v>12</v>
      </c>
      <c r="E409" s="67">
        <v>5.5128800000000004E-4</v>
      </c>
      <c r="M409">
        <v>5.5128800000000004E-4</v>
      </c>
    </row>
    <row r="410" spans="1:13" x14ac:dyDescent="0.25">
      <c r="A410" s="172" t="s">
        <v>507</v>
      </c>
      <c r="B410" s="173" t="s">
        <v>508</v>
      </c>
      <c r="C410" s="154">
        <v>2522.0360000000005</v>
      </c>
      <c r="D410" s="174">
        <v>12</v>
      </c>
      <c r="E410" s="67">
        <v>6.2616700000000006E-4</v>
      </c>
      <c r="M410">
        <v>6.2616700000000006E-4</v>
      </c>
    </row>
    <row r="411" spans="1:13" x14ac:dyDescent="0.25">
      <c r="A411" s="172" t="s">
        <v>509</v>
      </c>
      <c r="B411" s="173" t="s">
        <v>510</v>
      </c>
      <c r="C411" s="154">
        <v>2522.0360000000005</v>
      </c>
      <c r="D411" s="174">
        <v>12</v>
      </c>
      <c r="E411" s="67">
        <v>6.2616700000000006E-4</v>
      </c>
      <c r="M411">
        <v>6.2616700000000006E-4</v>
      </c>
    </row>
    <row r="412" spans="1:13" x14ac:dyDescent="0.25">
      <c r="A412" s="172" t="s">
        <v>511</v>
      </c>
      <c r="B412" s="173" t="s">
        <v>512</v>
      </c>
      <c r="C412" s="154">
        <v>2920.6804000000002</v>
      </c>
      <c r="D412" s="174">
        <v>12</v>
      </c>
      <c r="E412" s="67">
        <v>1.0158750000000001E-3</v>
      </c>
      <c r="M412">
        <v>1.0158750000000001E-3</v>
      </c>
    </row>
    <row r="413" spans="1:13" x14ac:dyDescent="0.25">
      <c r="A413" s="172" t="s">
        <v>513</v>
      </c>
      <c r="B413" s="173" t="s">
        <v>514</v>
      </c>
      <c r="C413" s="154">
        <v>2920.6804000000002</v>
      </c>
      <c r="D413" s="174">
        <v>12</v>
      </c>
      <c r="E413" s="67">
        <v>1.0158750000000001E-3</v>
      </c>
      <c r="M413">
        <v>1.0158750000000001E-3</v>
      </c>
    </row>
    <row r="414" spans="1:13" x14ac:dyDescent="0.25">
      <c r="A414" s="172" t="s">
        <v>515</v>
      </c>
      <c r="B414" s="173" t="s">
        <v>516</v>
      </c>
      <c r="C414" s="154">
        <v>6874.5820000000003</v>
      </c>
      <c r="D414" s="174">
        <v>6</v>
      </c>
      <c r="E414" s="67">
        <v>1.8186669999999999E-3</v>
      </c>
      <c r="M414">
        <v>1.8186669999999999E-3</v>
      </c>
    </row>
    <row r="415" spans="1:13" x14ac:dyDescent="0.25">
      <c r="A415" s="172" t="s">
        <v>517</v>
      </c>
      <c r="B415" s="173" t="s">
        <v>518</v>
      </c>
      <c r="C415" s="154">
        <v>6874.5820000000003</v>
      </c>
      <c r="D415" s="174">
        <v>6</v>
      </c>
      <c r="E415" s="67">
        <v>1.8186669999999999E-3</v>
      </c>
      <c r="M415">
        <v>1.8186669999999999E-3</v>
      </c>
    </row>
    <row r="416" spans="1:13" x14ac:dyDescent="0.25">
      <c r="A416" s="172" t="s">
        <v>519</v>
      </c>
      <c r="B416" s="173" t="s">
        <v>520</v>
      </c>
      <c r="C416" s="154">
        <v>3034.5787999999998</v>
      </c>
      <c r="D416" s="174">
        <v>12</v>
      </c>
      <c r="E416" s="67">
        <v>2.0014999999999998E-3</v>
      </c>
      <c r="M416">
        <v>2.0014999999999998E-3</v>
      </c>
    </row>
    <row r="417" spans="1:13" x14ac:dyDescent="0.25">
      <c r="A417" s="172" t="s">
        <v>521</v>
      </c>
      <c r="B417" s="173" t="s">
        <v>522</v>
      </c>
      <c r="C417" s="154">
        <v>3034.5787999999998</v>
      </c>
      <c r="D417" s="174">
        <v>12</v>
      </c>
      <c r="E417" s="67">
        <v>2.0014999999999998E-3</v>
      </c>
      <c r="M417">
        <v>2.0014999999999998E-3</v>
      </c>
    </row>
    <row r="418" spans="1:13" x14ac:dyDescent="0.25">
      <c r="A418" s="172" t="s">
        <v>523</v>
      </c>
      <c r="B418" s="173" t="s">
        <v>524</v>
      </c>
      <c r="C418" s="154">
        <v>3034.5787999999998</v>
      </c>
      <c r="D418" s="174">
        <v>12</v>
      </c>
      <c r="E418" s="67">
        <v>1.1860689999999999E-3</v>
      </c>
      <c r="M418">
        <v>1.1860689999999999E-3</v>
      </c>
    </row>
    <row r="419" spans="1:13" x14ac:dyDescent="0.25">
      <c r="A419" s="172" t="s">
        <v>525</v>
      </c>
      <c r="B419" s="173" t="s">
        <v>526</v>
      </c>
      <c r="C419" s="154">
        <v>3034.5787999999998</v>
      </c>
      <c r="D419" s="174">
        <v>12</v>
      </c>
      <c r="E419" s="67">
        <v>1.1860689999999999E-3</v>
      </c>
      <c r="M419">
        <v>1.1860689999999999E-3</v>
      </c>
    </row>
    <row r="420" spans="1:13" x14ac:dyDescent="0.25">
      <c r="A420" s="172" t="s">
        <v>527</v>
      </c>
      <c r="B420" s="173" t="s">
        <v>528</v>
      </c>
      <c r="C420" s="154">
        <v>5491.5300000000007</v>
      </c>
      <c r="D420" s="174">
        <v>12</v>
      </c>
      <c r="E420" s="67">
        <v>1.179105E-3</v>
      </c>
      <c r="M420">
        <v>1.179105E-3</v>
      </c>
    </row>
    <row r="421" spans="1:13" x14ac:dyDescent="0.25">
      <c r="A421" s="172" t="s">
        <v>529</v>
      </c>
      <c r="B421" s="173" t="s">
        <v>530</v>
      </c>
      <c r="C421" s="154">
        <v>5491.5300000000007</v>
      </c>
      <c r="D421" s="174">
        <v>12</v>
      </c>
      <c r="E421" s="67">
        <v>1.179105E-3</v>
      </c>
      <c r="M421">
        <v>1.179105E-3</v>
      </c>
    </row>
    <row r="422" spans="1:13" x14ac:dyDescent="0.25">
      <c r="A422" s="172" t="s">
        <v>531</v>
      </c>
      <c r="B422" s="173" t="s">
        <v>532</v>
      </c>
      <c r="C422" s="154">
        <v>6305.09</v>
      </c>
      <c r="D422" s="174">
        <v>12</v>
      </c>
      <c r="E422" s="67">
        <v>7.04862E-4</v>
      </c>
      <c r="M422">
        <v>7.04862E-4</v>
      </c>
    </row>
    <row r="423" spans="1:13" x14ac:dyDescent="0.25">
      <c r="A423" s="172" t="s">
        <v>533</v>
      </c>
      <c r="B423" s="173" t="s">
        <v>534</v>
      </c>
      <c r="C423" s="154">
        <v>6305.09</v>
      </c>
      <c r="D423" s="174">
        <v>12</v>
      </c>
      <c r="E423" s="67">
        <v>7.04862E-4</v>
      </c>
      <c r="M423">
        <v>7.04862E-4</v>
      </c>
    </row>
    <row r="424" spans="1:13" x14ac:dyDescent="0.25">
      <c r="A424" s="175" t="s">
        <v>535</v>
      </c>
      <c r="B424" s="173" t="s">
        <v>536</v>
      </c>
      <c r="C424" s="117">
        <v>3172.884</v>
      </c>
      <c r="D424" s="174">
        <v>24</v>
      </c>
      <c r="E424" s="67">
        <v>4.0000000000000002E-4</v>
      </c>
      <c r="M424">
        <v>4.0000000000000002E-4</v>
      </c>
    </row>
    <row r="425" spans="1:13" x14ac:dyDescent="0.25">
      <c r="A425" s="175" t="s">
        <v>537</v>
      </c>
      <c r="B425" s="173" t="s">
        <v>538</v>
      </c>
      <c r="C425" s="154">
        <v>3172.884</v>
      </c>
      <c r="D425" s="174">
        <v>24</v>
      </c>
      <c r="E425" s="67">
        <v>4.0000000000000002E-4</v>
      </c>
      <c r="M425">
        <v>4.0000000000000002E-4</v>
      </c>
    </row>
    <row r="426" spans="1:13" x14ac:dyDescent="0.25">
      <c r="A426" s="175" t="s">
        <v>539</v>
      </c>
      <c r="B426" s="173" t="s">
        <v>540</v>
      </c>
      <c r="C426" s="154">
        <v>5605.4283999999998</v>
      </c>
      <c r="D426" s="174">
        <v>12</v>
      </c>
      <c r="E426" s="67">
        <v>9.5549999999999997E-4</v>
      </c>
      <c r="M426">
        <v>9.5549999999999997E-4</v>
      </c>
    </row>
    <row r="427" spans="1:13" x14ac:dyDescent="0.25">
      <c r="A427" s="175" t="s">
        <v>541</v>
      </c>
      <c r="B427" s="173" t="s">
        <v>542</v>
      </c>
      <c r="C427" s="154">
        <v>5605.4283999999998</v>
      </c>
      <c r="D427" s="174">
        <v>12</v>
      </c>
      <c r="E427" s="67">
        <v>9.5549999999999997E-4</v>
      </c>
      <c r="M427">
        <v>9.5549999999999997E-4</v>
      </c>
    </row>
    <row r="428" spans="1:13" x14ac:dyDescent="0.25">
      <c r="A428" s="175" t="s">
        <v>543</v>
      </c>
      <c r="B428" s="173" t="s">
        <v>544</v>
      </c>
      <c r="C428" s="154">
        <v>12122.044000000002</v>
      </c>
      <c r="D428" s="174">
        <v>6</v>
      </c>
      <c r="E428" s="67">
        <v>7.9447500000000004E-3</v>
      </c>
      <c r="M428">
        <v>7.9447500000000004E-3</v>
      </c>
    </row>
    <row r="429" spans="1:13" x14ac:dyDescent="0.25">
      <c r="A429" s="175" t="s">
        <v>545</v>
      </c>
      <c r="B429" s="173" t="s">
        <v>546</v>
      </c>
      <c r="C429" s="154">
        <v>12122.044000000002</v>
      </c>
      <c r="D429" s="174">
        <v>6</v>
      </c>
      <c r="E429" s="67">
        <v>7.9447500000000004E-3</v>
      </c>
      <c r="M429">
        <v>7.9447500000000004E-3</v>
      </c>
    </row>
    <row r="430" spans="1:13" x14ac:dyDescent="0.25">
      <c r="A430" s="175" t="s">
        <v>547</v>
      </c>
      <c r="B430" s="173" t="s">
        <v>548</v>
      </c>
      <c r="C430" s="154">
        <v>2107.1204000000002</v>
      </c>
      <c r="D430" s="174">
        <v>12</v>
      </c>
      <c r="E430" s="67">
        <v>2.5999999999999998E-4</v>
      </c>
      <c r="M430">
        <v>2.5999999999999998E-4</v>
      </c>
    </row>
    <row r="431" spans="1:13" x14ac:dyDescent="0.25">
      <c r="A431" s="175" t="s">
        <v>549</v>
      </c>
      <c r="B431" s="173" t="s">
        <v>550</v>
      </c>
      <c r="C431" s="154">
        <v>2107.1204000000002</v>
      </c>
      <c r="D431" s="174">
        <v>12</v>
      </c>
      <c r="E431" s="67">
        <v>2.5999999999999998E-4</v>
      </c>
      <c r="M431">
        <v>2.5999999999999998E-4</v>
      </c>
    </row>
    <row r="432" spans="1:13" x14ac:dyDescent="0.25">
      <c r="A432" s="175">
        <v>664</v>
      </c>
      <c r="B432" s="173" t="s">
        <v>551</v>
      </c>
      <c r="C432" s="154">
        <v>8135.6</v>
      </c>
      <c r="D432" s="174">
        <v>24</v>
      </c>
      <c r="E432" s="67">
        <v>0</v>
      </c>
      <c r="M432">
        <v>0</v>
      </c>
    </row>
    <row r="433" spans="1:13" x14ac:dyDescent="0.25">
      <c r="A433" s="175">
        <v>665</v>
      </c>
      <c r="B433" s="173" t="s">
        <v>552</v>
      </c>
      <c r="C433" s="154">
        <v>12935.604000000001</v>
      </c>
      <c r="D433" s="174">
        <v>16</v>
      </c>
      <c r="E433" s="67">
        <v>8.0000000000000004E-4</v>
      </c>
      <c r="M433">
        <v>8.0000000000000004E-4</v>
      </c>
    </row>
    <row r="434" spans="1:13" x14ac:dyDescent="0.25">
      <c r="A434" s="175">
        <v>667</v>
      </c>
      <c r="B434" s="173" t="s">
        <v>553</v>
      </c>
      <c r="C434" s="117">
        <v>3416.9519999999998</v>
      </c>
      <c r="D434" s="174">
        <v>12</v>
      </c>
      <c r="E434" s="67">
        <v>8.0000000000000004E-4</v>
      </c>
      <c r="M434">
        <v>8.0000000000000004E-4</v>
      </c>
    </row>
    <row r="435" spans="1:13" x14ac:dyDescent="0.25">
      <c r="A435" s="175">
        <v>668</v>
      </c>
      <c r="B435" s="173" t="s">
        <v>554</v>
      </c>
      <c r="C435" s="154">
        <v>3416.9519999999998</v>
      </c>
      <c r="D435" s="174">
        <v>12</v>
      </c>
      <c r="E435" s="67">
        <v>5.66717E-4</v>
      </c>
      <c r="M435">
        <v>5.66717E-4</v>
      </c>
    </row>
    <row r="436" spans="1:13" x14ac:dyDescent="0.25">
      <c r="A436" s="175" t="s">
        <v>555</v>
      </c>
      <c r="B436" s="173" t="s">
        <v>556</v>
      </c>
      <c r="C436" s="154">
        <v>5532.2080000000005</v>
      </c>
      <c r="D436" s="174">
        <v>6</v>
      </c>
      <c r="E436" s="67">
        <v>1.0874999999999999E-3</v>
      </c>
      <c r="M436">
        <v>1.0874999999999999E-3</v>
      </c>
    </row>
    <row r="437" spans="1:13" x14ac:dyDescent="0.25">
      <c r="A437" s="175" t="s">
        <v>557</v>
      </c>
      <c r="B437" s="173" t="s">
        <v>558</v>
      </c>
      <c r="C437" s="154">
        <v>5532.2080000000005</v>
      </c>
      <c r="D437" s="174">
        <v>6</v>
      </c>
      <c r="E437" s="67">
        <v>1.0874999999999999E-3</v>
      </c>
      <c r="M437">
        <v>1.0874999999999999E-3</v>
      </c>
    </row>
    <row r="438" spans="1:13" x14ac:dyDescent="0.25">
      <c r="A438" s="175" t="s">
        <v>559</v>
      </c>
      <c r="B438" s="173" t="s">
        <v>560</v>
      </c>
      <c r="C438" s="117">
        <v>2522.0360000000005</v>
      </c>
      <c r="D438" s="174">
        <v>24</v>
      </c>
      <c r="E438" s="67">
        <v>3.1225599999999996E-4</v>
      </c>
      <c r="M438">
        <v>3.1225599999999996E-4</v>
      </c>
    </row>
    <row r="439" spans="1:13" x14ac:dyDescent="0.25">
      <c r="A439" s="175" t="s">
        <v>561</v>
      </c>
      <c r="B439" s="173" t="s">
        <v>562</v>
      </c>
      <c r="C439" s="154">
        <v>2522.0360000000005</v>
      </c>
      <c r="D439" s="174">
        <v>24</v>
      </c>
      <c r="E439" s="67">
        <v>3.1225599999999996E-4</v>
      </c>
      <c r="M439">
        <v>3.1225599999999996E-4</v>
      </c>
    </row>
    <row r="440" spans="1:13" x14ac:dyDescent="0.25">
      <c r="A440" s="176" t="s">
        <v>563</v>
      </c>
      <c r="B440" s="173" t="s">
        <v>564</v>
      </c>
      <c r="C440" s="154">
        <v>7216</v>
      </c>
      <c r="D440" s="174">
        <v>12</v>
      </c>
      <c r="E440" s="67">
        <v>5.0000000000000001E-3</v>
      </c>
      <c r="M440">
        <v>5.0000000000000001E-3</v>
      </c>
    </row>
    <row r="441" spans="1:13" x14ac:dyDescent="0.25">
      <c r="A441" s="176" t="s">
        <v>565</v>
      </c>
      <c r="B441" s="173" t="s">
        <v>566</v>
      </c>
      <c r="C441" s="154">
        <v>7216</v>
      </c>
      <c r="D441" s="174">
        <v>2</v>
      </c>
      <c r="E441" s="67">
        <v>5.0000000000000001E-3</v>
      </c>
      <c r="M441">
        <v>5.0000000000000001E-3</v>
      </c>
    </row>
    <row r="442" spans="1:13" x14ac:dyDescent="0.25">
      <c r="A442" s="176" t="s">
        <v>567</v>
      </c>
      <c r="B442" s="173" t="s">
        <v>568</v>
      </c>
      <c r="C442" s="154">
        <v>25790</v>
      </c>
      <c r="D442" s="174">
        <v>12</v>
      </c>
      <c r="E442" s="67">
        <v>2.8299999999999999E-2</v>
      </c>
      <c r="M442">
        <v>2.8299999999999999E-2</v>
      </c>
    </row>
    <row r="443" spans="1:13" x14ac:dyDescent="0.25">
      <c r="A443" s="42" t="s">
        <v>569</v>
      </c>
      <c r="B443" s="47" t="s">
        <v>570</v>
      </c>
      <c r="C443" s="125">
        <v>25790</v>
      </c>
      <c r="D443" s="40">
        <v>12</v>
      </c>
      <c r="E443" s="67">
        <v>2.8299999999999999E-2</v>
      </c>
      <c r="M443">
        <v>2.8299999999999999E-2</v>
      </c>
    </row>
    <row r="444" spans="1:13" ht="15.75" customHeight="1" x14ac:dyDescent="0.25">
      <c r="A444" s="177">
        <v>12617</v>
      </c>
      <c r="B444" s="160" t="s">
        <v>571</v>
      </c>
      <c r="C444" s="161">
        <v>28800.024000000001</v>
      </c>
      <c r="D444" s="40">
        <v>1</v>
      </c>
      <c r="E444" s="67" t="e">
        <v>#N/A</v>
      </c>
      <c r="M444" t="e">
        <v>#N/A</v>
      </c>
    </row>
    <row r="445" spans="1:13" x14ac:dyDescent="0.25">
      <c r="A445" s="177">
        <v>12619</v>
      </c>
      <c r="B445" s="160" t="s">
        <v>572</v>
      </c>
      <c r="C445" s="161">
        <v>20013.576000000001</v>
      </c>
      <c r="D445" s="40">
        <v>1</v>
      </c>
      <c r="E445" s="67" t="e">
        <v>#N/A</v>
      </c>
      <c r="M445" t="e">
        <v>#N/A</v>
      </c>
    </row>
    <row r="446" spans="1:13" x14ac:dyDescent="0.25">
      <c r="A446" s="177">
        <v>12624</v>
      </c>
      <c r="B446" s="160" t="s">
        <v>573</v>
      </c>
      <c r="C446" s="161">
        <v>34169.519999999997</v>
      </c>
      <c r="D446" s="40">
        <v>1</v>
      </c>
      <c r="E446" s="67" t="e">
        <v>#N/A</v>
      </c>
      <c r="M446" t="e">
        <v>#N/A</v>
      </c>
    </row>
    <row r="447" spans="1:13" x14ac:dyDescent="0.25">
      <c r="A447" s="177">
        <v>12625</v>
      </c>
      <c r="B447" s="160" t="s">
        <v>574</v>
      </c>
      <c r="C447" s="161">
        <v>40678</v>
      </c>
      <c r="D447" s="40">
        <v>1</v>
      </c>
      <c r="E447" s="67" t="e">
        <v>#N/A</v>
      </c>
      <c r="M447" t="e">
        <v>#N/A</v>
      </c>
    </row>
    <row r="448" spans="1:13" x14ac:dyDescent="0.25">
      <c r="A448" s="178">
        <v>12626</v>
      </c>
      <c r="B448" s="179" t="s">
        <v>575</v>
      </c>
      <c r="C448" s="180">
        <v>50221.058799999999</v>
      </c>
      <c r="D448" s="40">
        <v>1</v>
      </c>
      <c r="E448" s="67" t="e">
        <v>#N/A</v>
      </c>
      <c r="M448" t="e">
        <v>#N/A</v>
      </c>
    </row>
    <row r="449" spans="1:13" x14ac:dyDescent="0.25">
      <c r="A449" s="177">
        <v>12623</v>
      </c>
      <c r="B449" s="160" t="s">
        <v>576</v>
      </c>
      <c r="C449" s="161">
        <v>57111.912000000004</v>
      </c>
      <c r="D449" s="40">
        <v>1</v>
      </c>
      <c r="E449" s="67" t="e">
        <v>#N/A</v>
      </c>
      <c r="M449" t="e">
        <v>#N/A</v>
      </c>
    </row>
    <row r="450" spans="1:13" x14ac:dyDescent="0.25">
      <c r="A450" s="181">
        <v>12818</v>
      </c>
      <c r="B450" s="182" t="s">
        <v>577</v>
      </c>
      <c r="C450" s="183">
        <v>20696.966400000001</v>
      </c>
      <c r="D450" s="40">
        <v>1</v>
      </c>
      <c r="E450" s="67" t="e">
        <v>#N/A</v>
      </c>
      <c r="M450" t="e">
        <v>#N/A</v>
      </c>
    </row>
    <row r="451" spans="1:13" x14ac:dyDescent="0.25">
      <c r="A451" s="177">
        <v>12819</v>
      </c>
      <c r="B451" s="160" t="s">
        <v>578</v>
      </c>
      <c r="C451" s="161">
        <v>22519.340800000002</v>
      </c>
      <c r="D451" s="40">
        <v>1</v>
      </c>
      <c r="E451" s="67" t="e">
        <v>#N/A</v>
      </c>
      <c r="M451" t="e">
        <v>#N/A</v>
      </c>
    </row>
    <row r="452" spans="1:13" x14ac:dyDescent="0.25">
      <c r="A452" s="177">
        <v>12820</v>
      </c>
      <c r="B452" s="160" t="s">
        <v>579</v>
      </c>
      <c r="C452" s="161">
        <v>23397.985600000004</v>
      </c>
      <c r="D452" s="40">
        <v>1</v>
      </c>
      <c r="E452" s="67" t="e">
        <v>#N/A</v>
      </c>
      <c r="M452" t="e">
        <v>#N/A</v>
      </c>
    </row>
    <row r="453" spans="1:13" x14ac:dyDescent="0.25">
      <c r="A453" s="177">
        <v>12821</v>
      </c>
      <c r="B453" s="160" t="s">
        <v>580</v>
      </c>
      <c r="C453" s="161">
        <v>26936.971600000001</v>
      </c>
      <c r="D453" s="40">
        <v>1</v>
      </c>
      <c r="E453" s="67" t="e">
        <v>#N/A</v>
      </c>
      <c r="M453" t="e">
        <v>#N/A</v>
      </c>
    </row>
    <row r="454" spans="1:13" x14ac:dyDescent="0.25">
      <c r="A454" s="178">
        <v>12822</v>
      </c>
      <c r="B454" s="179" t="s">
        <v>581</v>
      </c>
      <c r="C454" s="180">
        <v>30557.313599999998</v>
      </c>
      <c r="D454" s="40">
        <v>1</v>
      </c>
      <c r="E454" s="67" t="e">
        <v>#N/A</v>
      </c>
      <c r="M454" t="e">
        <v>#N/A</v>
      </c>
    </row>
    <row r="455" spans="1:13" x14ac:dyDescent="0.25">
      <c r="A455" s="178">
        <v>12823</v>
      </c>
      <c r="B455" s="179" t="s">
        <v>582</v>
      </c>
      <c r="C455" s="180">
        <v>33762.74</v>
      </c>
      <c r="D455" s="40">
        <v>1</v>
      </c>
      <c r="E455" s="67" t="e">
        <v>#N/A</v>
      </c>
      <c r="M455" t="e">
        <v>#N/A</v>
      </c>
    </row>
    <row r="456" spans="1:13" x14ac:dyDescent="0.25">
      <c r="A456" s="177">
        <v>12824</v>
      </c>
      <c r="B456" s="160" t="s">
        <v>583</v>
      </c>
      <c r="C456" s="161">
        <v>61041.406799999997</v>
      </c>
      <c r="D456" s="40">
        <v>1</v>
      </c>
      <c r="E456" s="67" t="e">
        <v>#N/A</v>
      </c>
      <c r="M456" t="e">
        <v>#N/A</v>
      </c>
    </row>
    <row r="457" spans="1:13" x14ac:dyDescent="0.25">
      <c r="A457" s="177">
        <v>12620</v>
      </c>
      <c r="B457" s="160" t="s">
        <v>584</v>
      </c>
      <c r="C457" s="161">
        <v>69250.227199999994</v>
      </c>
      <c r="D457" s="40">
        <v>1</v>
      </c>
      <c r="E457" s="67" t="e">
        <v>#N/A</v>
      </c>
      <c r="M457" t="e">
        <v>#N/A</v>
      </c>
    </row>
    <row r="458" spans="1:13" x14ac:dyDescent="0.25">
      <c r="A458" s="184">
        <v>2156</v>
      </c>
      <c r="B458" s="185" t="s">
        <v>585</v>
      </c>
      <c r="C458" s="112">
        <v>29950</v>
      </c>
      <c r="D458" s="40">
        <v>1</v>
      </c>
      <c r="E458" s="67" t="e">
        <v>#N/A</v>
      </c>
      <c r="M458" t="e">
        <v>#N/A</v>
      </c>
    </row>
    <row r="459" spans="1:13" x14ac:dyDescent="0.25">
      <c r="A459" s="184">
        <v>2157</v>
      </c>
      <c r="B459" s="185" t="s">
        <v>586</v>
      </c>
      <c r="C459" s="112">
        <v>34950</v>
      </c>
      <c r="D459" s="40">
        <v>1</v>
      </c>
      <c r="E459" s="67" t="e">
        <v>#N/A</v>
      </c>
      <c r="M459" t="e">
        <v>#N/A</v>
      </c>
    </row>
    <row r="460" spans="1:13" x14ac:dyDescent="0.25">
      <c r="A460" s="184">
        <v>2158</v>
      </c>
      <c r="B460" s="185" t="s">
        <v>587</v>
      </c>
      <c r="C460" s="112">
        <v>39950</v>
      </c>
      <c r="D460" s="40">
        <v>1</v>
      </c>
      <c r="E460" s="67" t="e">
        <v>#N/A</v>
      </c>
      <c r="M460" t="e">
        <v>#N/A</v>
      </c>
    </row>
    <row r="461" spans="1:13" x14ac:dyDescent="0.25">
      <c r="A461" s="184">
        <v>2159</v>
      </c>
      <c r="B461" s="185" t="s">
        <v>588</v>
      </c>
      <c r="C461" s="112">
        <v>62390</v>
      </c>
      <c r="D461" s="40">
        <v>1</v>
      </c>
      <c r="E461" s="67" t="e">
        <v>#N/A</v>
      </c>
      <c r="M461" t="e">
        <v>#N/A</v>
      </c>
    </row>
    <row r="462" spans="1:13" x14ac:dyDescent="0.25">
      <c r="A462" s="184">
        <v>2160</v>
      </c>
      <c r="B462" s="185" t="s">
        <v>589</v>
      </c>
      <c r="C462" s="112">
        <v>67990</v>
      </c>
      <c r="D462" s="40">
        <v>1</v>
      </c>
      <c r="E462" s="67" t="e">
        <v>#N/A</v>
      </c>
      <c r="M462" t="e">
        <v>#N/A</v>
      </c>
    </row>
    <row r="463" spans="1:13" x14ac:dyDescent="0.25">
      <c r="A463" s="184">
        <v>2161</v>
      </c>
      <c r="B463" s="185" t="s">
        <v>590</v>
      </c>
      <c r="C463" s="112">
        <v>32490</v>
      </c>
      <c r="D463" s="40">
        <v>1</v>
      </c>
      <c r="E463" s="67" t="e">
        <v>#N/A</v>
      </c>
      <c r="M463" t="e">
        <v>#N/A</v>
      </c>
    </row>
    <row r="464" spans="1:13" ht="14.4" thickBot="1" x14ac:dyDescent="0.3">
      <c r="A464" s="186">
        <v>2162</v>
      </c>
      <c r="B464" s="187" t="s">
        <v>591</v>
      </c>
      <c r="C464" s="188">
        <v>36490</v>
      </c>
      <c r="D464" s="40">
        <v>1</v>
      </c>
      <c r="E464" s="67" t="e">
        <v>#N/A</v>
      </c>
      <c r="M464" t="e">
        <v>#N/A</v>
      </c>
    </row>
    <row r="465" spans="1:13" s="191" customFormat="1" x14ac:dyDescent="0.25">
      <c r="A465" s="189">
        <v>12520</v>
      </c>
      <c r="B465" s="190" t="s">
        <v>592</v>
      </c>
      <c r="C465" s="99">
        <v>23650</v>
      </c>
      <c r="D465" s="40">
        <v>1</v>
      </c>
      <c r="E465" s="67" t="e">
        <v>#N/A</v>
      </c>
      <c r="M465" s="191" t="e">
        <v>#N/A</v>
      </c>
    </row>
    <row r="466" spans="1:13" s="191" customFormat="1" x14ac:dyDescent="0.25">
      <c r="A466" s="189">
        <v>12521</v>
      </c>
      <c r="B466" s="190" t="s">
        <v>593</v>
      </c>
      <c r="C466" s="99">
        <v>29450</v>
      </c>
      <c r="D466" s="40">
        <v>1</v>
      </c>
      <c r="E466" s="67" t="e">
        <v>#N/A</v>
      </c>
      <c r="M466" s="191" t="e">
        <v>#N/A</v>
      </c>
    </row>
    <row r="467" spans="1:13" s="191" customFormat="1" x14ac:dyDescent="0.25">
      <c r="A467" s="189">
        <v>12522</v>
      </c>
      <c r="B467" s="190" t="s">
        <v>594</v>
      </c>
      <c r="C467" s="99">
        <v>32150</v>
      </c>
      <c r="D467" s="40">
        <v>1</v>
      </c>
      <c r="E467" s="67" t="e">
        <v>#N/A</v>
      </c>
      <c r="M467" s="191" t="e">
        <v>#N/A</v>
      </c>
    </row>
    <row r="468" spans="1:13" s="191" customFormat="1" x14ac:dyDescent="0.25">
      <c r="A468" s="189">
        <v>12523</v>
      </c>
      <c r="B468" s="190" t="s">
        <v>595</v>
      </c>
      <c r="C468" s="99">
        <v>34650</v>
      </c>
      <c r="D468" s="40">
        <v>1</v>
      </c>
      <c r="E468" s="67" t="e">
        <v>#N/A</v>
      </c>
      <c r="M468" s="191" t="e">
        <v>#N/A</v>
      </c>
    </row>
    <row r="469" spans="1:13" x14ac:dyDescent="0.25">
      <c r="A469" s="189">
        <v>12513</v>
      </c>
      <c r="B469" s="190" t="s">
        <v>596</v>
      </c>
      <c r="C469" s="99">
        <v>37586.472000000002</v>
      </c>
      <c r="D469" s="40">
        <v>1</v>
      </c>
      <c r="E469" s="67" t="e">
        <v>#N/A</v>
      </c>
      <c r="M469" t="e">
        <v>#N/A</v>
      </c>
    </row>
    <row r="470" spans="1:13" x14ac:dyDescent="0.25">
      <c r="A470" s="189">
        <v>12514</v>
      </c>
      <c r="B470" s="190" t="s">
        <v>597</v>
      </c>
      <c r="C470" s="99">
        <v>38725.456000000006</v>
      </c>
      <c r="D470" s="40">
        <v>1</v>
      </c>
      <c r="E470" s="67" t="e">
        <v>#N/A</v>
      </c>
      <c r="M470" t="e">
        <v>#N/A</v>
      </c>
    </row>
    <row r="471" spans="1:13" x14ac:dyDescent="0.25">
      <c r="A471" s="189">
        <v>12515</v>
      </c>
      <c r="B471" s="190" t="s">
        <v>598</v>
      </c>
      <c r="C471" s="99">
        <v>29613.584000000003</v>
      </c>
      <c r="D471" s="40">
        <v>1</v>
      </c>
      <c r="E471" s="67" t="e">
        <v>#N/A</v>
      </c>
      <c r="M471" t="e">
        <v>#N/A</v>
      </c>
    </row>
    <row r="472" spans="1:13" x14ac:dyDescent="0.25">
      <c r="A472" s="189">
        <v>12310</v>
      </c>
      <c r="B472" s="190" t="s">
        <v>599</v>
      </c>
      <c r="C472" s="99">
        <v>46698.343999999997</v>
      </c>
      <c r="D472" s="40">
        <v>1</v>
      </c>
      <c r="E472" s="67" t="e">
        <v>#N/A</v>
      </c>
      <c r="M472" t="e">
        <v>#N/A</v>
      </c>
    </row>
    <row r="473" spans="1:13" x14ac:dyDescent="0.25">
      <c r="A473" s="189">
        <v>12516</v>
      </c>
      <c r="B473" s="190" t="s">
        <v>600</v>
      </c>
      <c r="C473" s="99">
        <v>27335.615999999998</v>
      </c>
      <c r="D473" s="40">
        <v>1</v>
      </c>
      <c r="E473" s="67" t="e">
        <v>#N/A</v>
      </c>
      <c r="M473" t="e">
        <v>#N/A</v>
      </c>
    </row>
    <row r="474" spans="1:13" x14ac:dyDescent="0.25">
      <c r="A474" s="189">
        <v>11691</v>
      </c>
      <c r="B474" s="190" t="s">
        <v>601</v>
      </c>
      <c r="C474" s="99">
        <v>103647.54399999999</v>
      </c>
      <c r="D474" s="40">
        <v>1</v>
      </c>
      <c r="E474" s="67" t="e">
        <v>#N/A</v>
      </c>
      <c r="M474" t="e">
        <v>#N/A</v>
      </c>
    </row>
    <row r="475" spans="1:13" x14ac:dyDescent="0.25">
      <c r="A475" s="189">
        <v>11692</v>
      </c>
      <c r="B475" s="190" t="s">
        <v>602</v>
      </c>
      <c r="C475" s="99">
        <v>103647.54399999999</v>
      </c>
      <c r="D475" s="40">
        <v>1</v>
      </c>
      <c r="E475" s="67" t="e">
        <v>#N/A</v>
      </c>
      <c r="M475" t="e">
        <v>#N/A</v>
      </c>
    </row>
    <row r="476" spans="1:13" x14ac:dyDescent="0.25">
      <c r="A476" s="189">
        <v>4004</v>
      </c>
      <c r="B476" s="43" t="s">
        <v>603</v>
      </c>
      <c r="C476" s="99">
        <v>23918.664000000004</v>
      </c>
      <c r="D476" s="40">
        <v>1</v>
      </c>
      <c r="E476" s="67" t="e">
        <v>#N/A</v>
      </c>
      <c r="M476" t="e">
        <v>#N/A</v>
      </c>
    </row>
    <row r="477" spans="1:13" x14ac:dyDescent="0.25">
      <c r="A477" s="189">
        <v>4005</v>
      </c>
      <c r="B477" s="43" t="s">
        <v>604</v>
      </c>
      <c r="C477" s="99">
        <v>34739.012000000002</v>
      </c>
      <c r="D477" s="40">
        <v>1</v>
      </c>
      <c r="E477" s="67" t="e">
        <v>#N/A</v>
      </c>
      <c r="M477" t="e">
        <v>#N/A</v>
      </c>
    </row>
    <row r="478" spans="1:13" x14ac:dyDescent="0.25">
      <c r="A478" s="189">
        <v>4006</v>
      </c>
      <c r="B478" s="43" t="s">
        <v>605</v>
      </c>
      <c r="C478" s="99">
        <v>35308.504000000001</v>
      </c>
      <c r="D478" s="40">
        <v>1</v>
      </c>
      <c r="E478" s="67" t="e">
        <v>#N/A</v>
      </c>
      <c r="M478" t="e">
        <v>#N/A</v>
      </c>
    </row>
    <row r="479" spans="1:13" x14ac:dyDescent="0.25">
      <c r="A479" s="189">
        <v>4007</v>
      </c>
      <c r="B479" s="43" t="s">
        <v>606</v>
      </c>
      <c r="C479" s="99">
        <v>26196.632000000001</v>
      </c>
      <c r="D479" s="40">
        <v>1</v>
      </c>
      <c r="E479" s="67" t="e">
        <v>#N/A</v>
      </c>
      <c r="M479" t="e">
        <v>#N/A</v>
      </c>
    </row>
    <row r="480" spans="1:13" ht="15.6" x14ac:dyDescent="0.25">
      <c r="A480" s="254" t="s">
        <v>607</v>
      </c>
      <c r="B480" s="192" t="s">
        <v>608</v>
      </c>
      <c r="C480" s="193">
        <v>3661</v>
      </c>
      <c r="D480" s="40">
        <v>1</v>
      </c>
      <c r="E480" s="67" t="e">
        <v>#N/A</v>
      </c>
      <c r="M480" t="e">
        <v>#N/A</v>
      </c>
    </row>
    <row r="481" spans="1:13" x14ac:dyDescent="0.25">
      <c r="A481" s="194">
        <v>11106</v>
      </c>
      <c r="B481" s="195" t="s">
        <v>609</v>
      </c>
      <c r="C481" s="99">
        <v>146150</v>
      </c>
      <c r="D481" s="40">
        <v>1</v>
      </c>
      <c r="E481" s="67" t="e">
        <v>#N/A</v>
      </c>
      <c r="M481" t="e">
        <v>#N/A</v>
      </c>
    </row>
    <row r="482" spans="1:13" x14ac:dyDescent="0.25">
      <c r="A482" s="181">
        <v>11107</v>
      </c>
      <c r="B482" s="182" t="s">
        <v>610</v>
      </c>
      <c r="C482" s="99">
        <v>185150</v>
      </c>
      <c r="D482" s="40">
        <v>1</v>
      </c>
      <c r="E482" s="67" t="e">
        <v>#N/A</v>
      </c>
      <c r="M482" t="e">
        <v>#N/A</v>
      </c>
    </row>
    <row r="483" spans="1:13" x14ac:dyDescent="0.25">
      <c r="A483" s="177">
        <v>11108</v>
      </c>
      <c r="B483" s="160" t="s">
        <v>611</v>
      </c>
      <c r="C483" s="99">
        <v>192150</v>
      </c>
      <c r="D483" s="40">
        <v>1</v>
      </c>
      <c r="E483" s="67" t="e">
        <v>#N/A</v>
      </c>
      <c r="M483" t="e">
        <v>#N/A</v>
      </c>
    </row>
    <row r="484" spans="1:13" x14ac:dyDescent="0.25">
      <c r="A484" s="177">
        <v>11109</v>
      </c>
      <c r="B484" s="190" t="s">
        <v>612</v>
      </c>
      <c r="C484" s="196">
        <v>132000</v>
      </c>
      <c r="D484" s="40">
        <v>1</v>
      </c>
      <c r="E484" s="67" t="e">
        <v>#N/A</v>
      </c>
      <c r="M484" t="e">
        <v>#N/A</v>
      </c>
    </row>
    <row r="485" spans="1:13" x14ac:dyDescent="0.25">
      <c r="A485" s="177">
        <v>11110</v>
      </c>
      <c r="B485" s="190" t="s">
        <v>613</v>
      </c>
      <c r="C485" s="196">
        <v>143400</v>
      </c>
      <c r="D485" s="40">
        <v>1</v>
      </c>
      <c r="E485" s="67" t="e">
        <v>#N/A</v>
      </c>
      <c r="M485" t="e">
        <v>#N/A</v>
      </c>
    </row>
    <row r="486" spans="1:13" x14ac:dyDescent="0.25">
      <c r="A486" s="177">
        <v>11111</v>
      </c>
      <c r="B486" s="190" t="s">
        <v>614</v>
      </c>
      <c r="C486" s="196">
        <v>191300</v>
      </c>
      <c r="D486" s="40">
        <v>1</v>
      </c>
      <c r="E486" s="67" t="e">
        <v>#N/A</v>
      </c>
      <c r="M486" t="e">
        <v>#N/A</v>
      </c>
    </row>
    <row r="487" spans="1:13" x14ac:dyDescent="0.25">
      <c r="A487" s="177">
        <v>11112</v>
      </c>
      <c r="B487" s="43" t="s">
        <v>615</v>
      </c>
      <c r="C487" s="196">
        <v>81000</v>
      </c>
      <c r="D487" s="40">
        <v>1</v>
      </c>
      <c r="E487" s="67" t="e">
        <v>#N/A</v>
      </c>
      <c r="M487" t="e">
        <v>#N/A</v>
      </c>
    </row>
    <row r="488" spans="1:13" x14ac:dyDescent="0.25">
      <c r="A488" s="177">
        <v>11113</v>
      </c>
      <c r="B488" s="43" t="s">
        <v>616</v>
      </c>
      <c r="C488" s="196">
        <v>81000</v>
      </c>
      <c r="D488" s="40"/>
      <c r="E488" s="67" t="e">
        <v>#N/A</v>
      </c>
      <c r="M488" t="e">
        <v>#N/A</v>
      </c>
    </row>
    <row r="489" spans="1:13" x14ac:dyDescent="0.25">
      <c r="A489" s="177">
        <v>12106</v>
      </c>
      <c r="B489" s="47" t="s">
        <v>617</v>
      </c>
      <c r="C489" s="99">
        <v>169900</v>
      </c>
      <c r="D489" s="40">
        <v>1</v>
      </c>
      <c r="E489" s="67" t="e">
        <v>#N/A</v>
      </c>
      <c r="M489" t="e">
        <v>#N/A</v>
      </c>
    </row>
    <row r="490" spans="1:13" x14ac:dyDescent="0.25">
      <c r="A490" s="164">
        <v>12128</v>
      </c>
      <c r="B490" s="47" t="s">
        <v>618</v>
      </c>
      <c r="C490" s="106">
        <v>68827.176000000007</v>
      </c>
      <c r="D490" s="1">
        <v>1</v>
      </c>
      <c r="E490" s="67" t="e">
        <v>#N/A</v>
      </c>
      <c r="M490" t="e">
        <v>#N/A</v>
      </c>
    </row>
    <row r="491" spans="1:13" x14ac:dyDescent="0.25">
      <c r="A491" s="177" t="s">
        <v>619</v>
      </c>
      <c r="B491" s="47" t="s">
        <v>620</v>
      </c>
      <c r="C491" s="106">
        <v>54345.808000000005</v>
      </c>
      <c r="D491" s="1">
        <v>1</v>
      </c>
      <c r="E491" s="67" t="e">
        <v>#N/A</v>
      </c>
      <c r="M491" t="e">
        <v>#N/A</v>
      </c>
    </row>
    <row r="492" spans="1:13" x14ac:dyDescent="0.25">
      <c r="A492" s="177">
        <v>12105</v>
      </c>
      <c r="B492" s="47" t="s">
        <v>621</v>
      </c>
      <c r="C492" s="106">
        <v>249900</v>
      </c>
      <c r="D492" s="1">
        <v>1</v>
      </c>
    </row>
    <row r="493" spans="1:13" x14ac:dyDescent="0.25">
      <c r="A493" s="177">
        <v>12109</v>
      </c>
      <c r="B493" s="47" t="s">
        <v>622</v>
      </c>
      <c r="C493" s="106">
        <v>199900</v>
      </c>
      <c r="D493" s="1">
        <v>1</v>
      </c>
    </row>
    <row r="494" spans="1:13" x14ac:dyDescent="0.25">
      <c r="A494" s="177">
        <v>12102</v>
      </c>
      <c r="B494" s="47" t="s">
        <v>623</v>
      </c>
      <c r="C494" s="106">
        <v>98900</v>
      </c>
      <c r="D494" s="1">
        <v>1</v>
      </c>
    </row>
    <row r="495" spans="1:13" x14ac:dyDescent="0.25">
      <c r="A495" s="177">
        <v>12103</v>
      </c>
      <c r="B495" s="47" t="s">
        <v>624</v>
      </c>
      <c r="C495" s="106">
        <v>539900</v>
      </c>
      <c r="D495" s="1">
        <v>1</v>
      </c>
    </row>
    <row r="496" spans="1:13" x14ac:dyDescent="0.25">
      <c r="A496" s="177" t="s">
        <v>625</v>
      </c>
      <c r="B496" s="47" t="s">
        <v>626</v>
      </c>
      <c r="C496" s="106">
        <v>76900</v>
      </c>
      <c r="D496" s="1">
        <v>1</v>
      </c>
    </row>
    <row r="497" spans="1:13" x14ac:dyDescent="0.25">
      <c r="A497" s="40" t="s">
        <v>627</v>
      </c>
      <c r="B497" s="8" t="s">
        <v>628</v>
      </c>
      <c r="C497" s="117">
        <v>1089000</v>
      </c>
      <c r="D497" s="40">
        <v>1</v>
      </c>
      <c r="E497" s="67" t="e">
        <v>#N/A</v>
      </c>
      <c r="M497" t="e">
        <v>#N/A</v>
      </c>
    </row>
    <row r="498" spans="1:13" x14ac:dyDescent="0.25">
      <c r="A498" s="197">
        <v>62022</v>
      </c>
      <c r="B498" s="9" t="s">
        <v>629</v>
      </c>
      <c r="C498" s="198">
        <v>18223.743999999999</v>
      </c>
      <c r="D498" s="41">
        <v>12</v>
      </c>
      <c r="E498" s="67" t="e">
        <v>#N/A</v>
      </c>
      <c r="M498" t="e">
        <v>#N/A</v>
      </c>
    </row>
    <row r="499" spans="1:13" x14ac:dyDescent="0.25">
      <c r="A499" s="197">
        <v>62024</v>
      </c>
      <c r="B499" s="9" t="s">
        <v>630</v>
      </c>
      <c r="C499" s="198">
        <v>20013.576000000001</v>
      </c>
      <c r="D499" s="41">
        <v>4</v>
      </c>
      <c r="E499" s="67" t="e">
        <v>#N/A</v>
      </c>
      <c r="M499" t="e">
        <v>#N/A</v>
      </c>
    </row>
    <row r="500" spans="1:13" x14ac:dyDescent="0.25">
      <c r="A500" s="197">
        <v>62026</v>
      </c>
      <c r="B500" s="9" t="s">
        <v>631</v>
      </c>
      <c r="C500" s="198">
        <v>22535.612000000001</v>
      </c>
      <c r="D500" s="41">
        <v>4</v>
      </c>
      <c r="E500" s="67" t="e">
        <v>#N/A</v>
      </c>
      <c r="M500" t="e">
        <v>#N/A</v>
      </c>
    </row>
    <row r="501" spans="1:13" x14ac:dyDescent="0.25">
      <c r="A501" s="40"/>
      <c r="B501" s="8" t="s">
        <v>29</v>
      </c>
      <c r="C501" s="117"/>
      <c r="D501" s="41"/>
      <c r="E501" s="67" t="e">
        <v>#N/A</v>
      </c>
      <c r="M501" t="e">
        <v>#N/A</v>
      </c>
    </row>
    <row r="502" spans="1:13" x14ac:dyDescent="0.25">
      <c r="A502" s="164">
        <v>1001</v>
      </c>
      <c r="B502" s="182" t="s">
        <v>632</v>
      </c>
      <c r="C502" s="183">
        <v>6985.9583640000001</v>
      </c>
      <c r="D502" s="164">
        <v>6</v>
      </c>
      <c r="E502" s="67" t="e">
        <v>#N/A</v>
      </c>
      <c r="M502" t="e">
        <v>#N/A</v>
      </c>
    </row>
    <row r="503" spans="1:13" x14ac:dyDescent="0.25">
      <c r="A503" s="5">
        <v>1002</v>
      </c>
      <c r="B503" s="160" t="s">
        <v>633</v>
      </c>
      <c r="C503" s="161">
        <v>2561.5180668000003</v>
      </c>
      <c r="D503" s="5">
        <v>6</v>
      </c>
      <c r="E503" s="67" t="e">
        <v>#N/A</v>
      </c>
      <c r="M503" t="e">
        <v>#N/A</v>
      </c>
    </row>
    <row r="504" spans="1:13" x14ac:dyDescent="0.25">
      <c r="A504" s="5">
        <v>1003</v>
      </c>
      <c r="B504" s="160" t="s">
        <v>634</v>
      </c>
      <c r="C504" s="161">
        <v>3609.4118213999991</v>
      </c>
      <c r="D504" s="5">
        <v>6</v>
      </c>
      <c r="E504" s="67" t="e">
        <v>#N/A</v>
      </c>
      <c r="M504" t="e">
        <v>#N/A</v>
      </c>
    </row>
    <row r="505" spans="1:13" x14ac:dyDescent="0.25">
      <c r="A505" s="5">
        <v>1004</v>
      </c>
      <c r="B505" s="160" t="s">
        <v>635</v>
      </c>
      <c r="C505" s="161">
        <v>6985.9583640000001</v>
      </c>
      <c r="D505" s="5">
        <v>6</v>
      </c>
      <c r="E505" s="67" t="e">
        <v>#N/A</v>
      </c>
      <c r="M505" t="e">
        <v>#N/A</v>
      </c>
    </row>
    <row r="506" spans="1:13" x14ac:dyDescent="0.25">
      <c r="A506" s="5">
        <v>1007</v>
      </c>
      <c r="B506" s="160" t="s">
        <v>636</v>
      </c>
      <c r="C506" s="161">
        <v>3958.7097395999995</v>
      </c>
      <c r="D506" s="5">
        <v>6</v>
      </c>
      <c r="E506" s="67" t="e">
        <v>#N/A</v>
      </c>
      <c r="M506" t="e">
        <v>#N/A</v>
      </c>
    </row>
    <row r="507" spans="1:13" x14ac:dyDescent="0.25">
      <c r="A507" s="5">
        <v>1008</v>
      </c>
      <c r="B507" s="160" t="s">
        <v>637</v>
      </c>
      <c r="C507" s="161">
        <v>2910.8159849999993</v>
      </c>
      <c r="D507" s="5">
        <v>6</v>
      </c>
      <c r="E507" s="67" t="e">
        <v>#N/A</v>
      </c>
      <c r="M507" t="e">
        <v>#N/A</v>
      </c>
    </row>
    <row r="508" spans="1:13" x14ac:dyDescent="0.25">
      <c r="A508" s="5">
        <v>1009</v>
      </c>
      <c r="B508" s="160" t="s">
        <v>638</v>
      </c>
      <c r="C508" s="161">
        <v>7684.5542003999981</v>
      </c>
      <c r="D508" s="5">
        <v>6</v>
      </c>
      <c r="E508" s="67" t="e">
        <v>#N/A</v>
      </c>
      <c r="M508" t="e">
        <v>#N/A</v>
      </c>
    </row>
    <row r="509" spans="1:13" x14ac:dyDescent="0.25">
      <c r="A509" s="5">
        <v>1010</v>
      </c>
      <c r="B509" s="160" t="s">
        <v>639</v>
      </c>
      <c r="C509" s="161">
        <v>7568.121560999999</v>
      </c>
      <c r="D509" s="5">
        <v>3</v>
      </c>
      <c r="E509" s="67" t="e">
        <v>#N/A</v>
      </c>
      <c r="M509" t="e">
        <v>#N/A</v>
      </c>
    </row>
    <row r="510" spans="1:13" x14ac:dyDescent="0.25">
      <c r="A510" s="57" t="s">
        <v>640</v>
      </c>
      <c r="B510" s="199" t="s">
        <v>641</v>
      </c>
      <c r="C510" s="106">
        <v>18163.491746399995</v>
      </c>
      <c r="D510" s="57">
        <v>6</v>
      </c>
      <c r="E510" s="67" t="e">
        <v>#N/A</v>
      </c>
      <c r="M510" t="e">
        <v>#N/A</v>
      </c>
    </row>
    <row r="511" spans="1:13" x14ac:dyDescent="0.25">
      <c r="A511" s="200" t="s">
        <v>642</v>
      </c>
      <c r="B511" s="201" t="s">
        <v>643</v>
      </c>
      <c r="C511" s="202">
        <v>12458.292415799999</v>
      </c>
      <c r="D511" s="200">
        <v>6</v>
      </c>
      <c r="E511" s="67" t="e">
        <v>#N/A</v>
      </c>
      <c r="M511" t="e">
        <v>#N/A</v>
      </c>
    </row>
    <row r="512" spans="1:13" x14ac:dyDescent="0.25">
      <c r="A512" s="159">
        <v>5005</v>
      </c>
      <c r="B512" s="160" t="s">
        <v>644</v>
      </c>
      <c r="C512" s="99">
        <v>8383.1500367999979</v>
      </c>
      <c r="D512" s="5">
        <v>6</v>
      </c>
      <c r="E512" s="67" t="e">
        <v>#N/A</v>
      </c>
      <c r="M512" t="e">
        <v>#N/A</v>
      </c>
    </row>
    <row r="513" spans="1:13" x14ac:dyDescent="0.25">
      <c r="A513" s="159">
        <v>5010</v>
      </c>
      <c r="B513" s="160" t="s">
        <v>645</v>
      </c>
      <c r="C513" s="99">
        <v>6985.9583640000001</v>
      </c>
      <c r="D513" s="5">
        <v>3</v>
      </c>
      <c r="E513" s="67" t="e">
        <v>#N/A</v>
      </c>
      <c r="M513" t="e">
        <v>#N/A</v>
      </c>
    </row>
    <row r="514" spans="1:13" x14ac:dyDescent="0.25">
      <c r="A514" s="159">
        <v>1011</v>
      </c>
      <c r="B514" s="160" t="s">
        <v>646</v>
      </c>
      <c r="C514" s="161">
        <v>27943.833456</v>
      </c>
      <c r="D514" s="5">
        <v>3</v>
      </c>
      <c r="E514" s="67" t="e">
        <v>#N/A</v>
      </c>
      <c r="M514" t="e">
        <v>#N/A</v>
      </c>
    </row>
    <row r="515" spans="1:13" x14ac:dyDescent="0.25">
      <c r="A515" s="5">
        <v>5100</v>
      </c>
      <c r="B515" s="160" t="s">
        <v>647</v>
      </c>
      <c r="C515" s="161">
        <v>27943.833456</v>
      </c>
      <c r="D515" s="5">
        <v>3</v>
      </c>
      <c r="E515" s="67" t="e">
        <v>#N/A</v>
      </c>
      <c r="M515" t="e">
        <v>#N/A</v>
      </c>
    </row>
    <row r="516" spans="1:13" x14ac:dyDescent="0.25">
      <c r="A516" s="50">
        <v>5110</v>
      </c>
      <c r="B516" s="203" t="s">
        <v>648</v>
      </c>
      <c r="C516" s="204">
        <v>27943.833456</v>
      </c>
      <c r="D516" s="50">
        <v>3</v>
      </c>
      <c r="E516" s="67" t="e">
        <v>#N/A</v>
      </c>
      <c r="M516" t="e">
        <v>#N/A</v>
      </c>
    </row>
    <row r="517" spans="1:13" x14ac:dyDescent="0.25">
      <c r="A517" s="159">
        <v>1012</v>
      </c>
      <c r="B517" s="160" t="s">
        <v>649</v>
      </c>
      <c r="C517" s="161">
        <v>8406.4365646799997</v>
      </c>
      <c r="D517" s="5">
        <v>8</v>
      </c>
      <c r="E517" s="67" t="e">
        <v>#N/A</v>
      </c>
      <c r="M517" t="e">
        <v>#N/A</v>
      </c>
    </row>
    <row r="518" spans="1:13" x14ac:dyDescent="0.25">
      <c r="A518" s="159">
        <v>5012</v>
      </c>
      <c r="B518" s="47" t="s">
        <v>650</v>
      </c>
      <c r="C518" s="161">
        <v>6753.0930851999983</v>
      </c>
      <c r="D518" s="5">
        <v>8</v>
      </c>
      <c r="E518" s="67" t="e">
        <v>#N/A</v>
      </c>
      <c r="M518" t="e">
        <v>#N/A</v>
      </c>
    </row>
    <row r="519" spans="1:13" x14ac:dyDescent="0.25">
      <c r="A519" s="164" t="s">
        <v>651</v>
      </c>
      <c r="B519" s="182" t="s">
        <v>652</v>
      </c>
      <c r="C519" s="183">
        <v>3725.8444608000004</v>
      </c>
      <c r="D519" s="164">
        <v>24</v>
      </c>
      <c r="E519" s="67" t="e">
        <v>#N/A</v>
      </c>
      <c r="M519" t="e">
        <v>#N/A</v>
      </c>
    </row>
    <row r="520" spans="1:13" x14ac:dyDescent="0.25">
      <c r="A520" s="159" t="s">
        <v>653</v>
      </c>
      <c r="B520" s="160" t="s">
        <v>654</v>
      </c>
      <c r="C520" s="161">
        <v>1979.3548697999997</v>
      </c>
      <c r="D520" s="5">
        <v>24</v>
      </c>
      <c r="E520" s="67" t="e">
        <v>#N/A</v>
      </c>
      <c r="M520" t="e">
        <v>#N/A</v>
      </c>
    </row>
    <row r="521" spans="1:13" x14ac:dyDescent="0.25">
      <c r="A521" s="159">
        <v>1081</v>
      </c>
      <c r="B521" s="160" t="s">
        <v>655</v>
      </c>
      <c r="C521" s="161">
        <v>29108.15985</v>
      </c>
      <c r="D521" s="5">
        <v>3</v>
      </c>
      <c r="E521" s="67" t="e">
        <v>#N/A</v>
      </c>
      <c r="M521" t="e">
        <v>#N/A</v>
      </c>
    </row>
    <row r="522" spans="1:13" x14ac:dyDescent="0.25">
      <c r="A522" s="159">
        <v>2581</v>
      </c>
      <c r="B522" s="160" t="s">
        <v>656</v>
      </c>
      <c r="C522" s="161">
        <v>1909.4952861599995</v>
      </c>
      <c r="D522" s="5">
        <v>12</v>
      </c>
      <c r="E522" s="67" t="e">
        <v>#N/A</v>
      </c>
      <c r="M522" t="e">
        <v>#N/A</v>
      </c>
    </row>
    <row r="523" spans="1:13" x14ac:dyDescent="0.25">
      <c r="A523" s="177">
        <v>2582</v>
      </c>
      <c r="B523" s="47" t="s">
        <v>657</v>
      </c>
      <c r="C523" s="106">
        <v>1995.9881039999998</v>
      </c>
      <c r="D523" s="5">
        <v>12</v>
      </c>
      <c r="E523" s="67" t="e">
        <v>#N/A</v>
      </c>
      <c r="M523" t="e">
        <v>#N/A</v>
      </c>
    </row>
    <row r="524" spans="1:13" x14ac:dyDescent="0.25">
      <c r="A524" s="205"/>
      <c r="B524" s="146" t="s">
        <v>29</v>
      </c>
      <c r="C524" s="206"/>
      <c r="D524" s="5"/>
      <c r="E524" s="67" t="e">
        <v>#N/A</v>
      </c>
      <c r="M524" t="e">
        <v>#N/A</v>
      </c>
    </row>
    <row r="525" spans="1:13" x14ac:dyDescent="0.25">
      <c r="A525" s="56">
        <v>1631</v>
      </c>
      <c r="B525" s="47" t="s">
        <v>658</v>
      </c>
      <c r="C525" s="198">
        <v>2280.4737647999996</v>
      </c>
      <c r="D525" s="5">
        <v>12</v>
      </c>
      <c r="E525" s="67" t="e">
        <v>#N/A</v>
      </c>
      <c r="M525" t="e">
        <v>#N/A</v>
      </c>
    </row>
    <row r="526" spans="1:13" x14ac:dyDescent="0.25">
      <c r="A526" s="56">
        <v>1671</v>
      </c>
      <c r="B526" s="160" t="s">
        <v>659</v>
      </c>
      <c r="C526" s="198">
        <v>1718.3851607999998</v>
      </c>
      <c r="D526" s="5">
        <v>12</v>
      </c>
      <c r="E526" s="67" t="e">
        <v>#N/A</v>
      </c>
      <c r="M526" t="e">
        <v>#N/A</v>
      </c>
    </row>
    <row r="527" spans="1:13" x14ac:dyDescent="0.25">
      <c r="A527" s="207" t="s">
        <v>660</v>
      </c>
      <c r="B527" s="47" t="s">
        <v>661</v>
      </c>
      <c r="C527" s="208">
        <v>4129.6305599999996</v>
      </c>
      <c r="D527" s="5">
        <v>12</v>
      </c>
      <c r="E527" s="67" t="e">
        <v>#N/A</v>
      </c>
      <c r="M527" t="e">
        <v>#N/A</v>
      </c>
    </row>
    <row r="528" spans="1:13" x14ac:dyDescent="0.25">
      <c r="A528" s="172"/>
      <c r="B528" s="173" t="s">
        <v>29</v>
      </c>
      <c r="C528" s="154"/>
      <c r="D528" s="175"/>
      <c r="E528" s="67" t="e">
        <v>#N/A</v>
      </c>
      <c r="M528" t="e">
        <v>#N/A</v>
      </c>
    </row>
    <row r="529" spans="1:13" ht="52.8" x14ac:dyDescent="0.25">
      <c r="A529" s="40">
        <v>250520</v>
      </c>
      <c r="B529" s="230" t="s">
        <v>662</v>
      </c>
      <c r="C529" s="231">
        <v>21585</v>
      </c>
      <c r="D529" s="5">
        <v>12</v>
      </c>
      <c r="E529" s="67" t="e">
        <v>#N/A</v>
      </c>
      <c r="M529" t="e">
        <v>#N/A</v>
      </c>
    </row>
    <row r="530" spans="1:13" ht="52.8" x14ac:dyDescent="0.25">
      <c r="A530" s="40">
        <v>250521</v>
      </c>
      <c r="B530" s="230" t="s">
        <v>663</v>
      </c>
      <c r="C530" s="231">
        <v>20405</v>
      </c>
      <c r="D530" s="5">
        <v>12</v>
      </c>
      <c r="E530" s="67" t="e">
        <v>#N/A</v>
      </c>
      <c r="M530" t="e">
        <v>#N/A</v>
      </c>
    </row>
    <row r="531" spans="1:13" ht="52.8" x14ac:dyDescent="0.25">
      <c r="A531" s="40">
        <v>250522</v>
      </c>
      <c r="B531" s="230" t="s">
        <v>664</v>
      </c>
      <c r="C531" s="231">
        <v>22870</v>
      </c>
      <c r="D531" s="5">
        <v>12</v>
      </c>
      <c r="E531" s="67" t="e">
        <v>#N/A</v>
      </c>
      <c r="M531" t="e">
        <v>#N/A</v>
      </c>
    </row>
    <row r="532" spans="1:13" ht="52.8" x14ac:dyDescent="0.25">
      <c r="A532" s="40">
        <v>250514</v>
      </c>
      <c r="B532" s="230" t="s">
        <v>665</v>
      </c>
      <c r="C532" s="231">
        <v>19790</v>
      </c>
      <c r="D532" s="5">
        <v>12</v>
      </c>
      <c r="E532" s="67" t="e">
        <v>#N/A</v>
      </c>
      <c r="M532" t="e">
        <v>#N/A</v>
      </c>
    </row>
    <row r="533" spans="1:13" ht="26.4" x14ac:dyDescent="0.25">
      <c r="A533" s="40">
        <v>62568</v>
      </c>
      <c r="B533" s="232" t="s">
        <v>666</v>
      </c>
      <c r="C533" s="231">
        <v>18780</v>
      </c>
      <c r="D533" s="5">
        <v>12</v>
      </c>
      <c r="E533" s="67" t="e">
        <v>#N/A</v>
      </c>
      <c r="M533" t="e">
        <v>#N/A</v>
      </c>
    </row>
    <row r="534" spans="1:13" x14ac:dyDescent="0.25">
      <c r="A534" s="40">
        <v>62528</v>
      </c>
      <c r="B534" s="230" t="s">
        <v>667</v>
      </c>
      <c r="C534" s="231">
        <v>22705</v>
      </c>
      <c r="D534" s="5">
        <v>12</v>
      </c>
      <c r="E534" s="67" t="e">
        <v>#N/A</v>
      </c>
      <c r="M534" t="e">
        <v>#N/A</v>
      </c>
    </row>
    <row r="535" spans="1:13" ht="52.8" x14ac:dyDescent="0.25">
      <c r="A535" s="40">
        <v>250510</v>
      </c>
      <c r="B535" s="230" t="s">
        <v>668</v>
      </c>
      <c r="C535" s="231">
        <v>15135</v>
      </c>
      <c r="D535" s="5">
        <v>12</v>
      </c>
      <c r="E535" s="67" t="e">
        <v>#N/A</v>
      </c>
      <c r="M535" t="e">
        <v>#N/A</v>
      </c>
    </row>
    <row r="536" spans="1:13" ht="52.8" x14ac:dyDescent="0.25">
      <c r="A536" s="40">
        <v>250511</v>
      </c>
      <c r="B536" s="230" t="s">
        <v>669</v>
      </c>
      <c r="C536" s="231">
        <v>14575</v>
      </c>
      <c r="D536" s="5">
        <v>12</v>
      </c>
      <c r="E536" s="67" t="e">
        <v>#N/A</v>
      </c>
      <c r="M536" t="e">
        <v>#N/A</v>
      </c>
    </row>
    <row r="537" spans="1:13" ht="52.8" x14ac:dyDescent="0.25">
      <c r="A537" s="40">
        <v>250509</v>
      </c>
      <c r="B537" s="230" t="s">
        <v>670</v>
      </c>
      <c r="C537" s="231">
        <v>15585</v>
      </c>
      <c r="D537" s="5">
        <v>12</v>
      </c>
      <c r="E537" s="67" t="e">
        <v>#N/A</v>
      </c>
      <c r="M537" t="e">
        <v>#N/A</v>
      </c>
    </row>
    <row r="538" spans="1:13" ht="52.8" x14ac:dyDescent="0.25">
      <c r="A538" s="40">
        <v>250400</v>
      </c>
      <c r="B538" s="230" t="s">
        <v>671</v>
      </c>
      <c r="C538" s="231">
        <v>17885</v>
      </c>
      <c r="D538" s="5">
        <v>12</v>
      </c>
      <c r="E538" s="67" t="e">
        <v>#N/A</v>
      </c>
      <c r="M538" t="e">
        <v>#N/A</v>
      </c>
    </row>
    <row r="539" spans="1:13" ht="52.8" x14ac:dyDescent="0.25">
      <c r="A539" s="40" t="s">
        <v>672</v>
      </c>
      <c r="B539" s="229" t="s">
        <v>673</v>
      </c>
      <c r="C539" s="231">
        <v>18555</v>
      </c>
      <c r="D539" s="5">
        <v>12</v>
      </c>
      <c r="E539" s="67" t="e">
        <v>#N/A</v>
      </c>
      <c r="M539" t="e">
        <v>#N/A</v>
      </c>
    </row>
    <row r="540" spans="1:13" ht="52.8" x14ac:dyDescent="0.25">
      <c r="A540" s="40" t="s">
        <v>674</v>
      </c>
      <c r="B540" s="229" t="s">
        <v>675</v>
      </c>
      <c r="C540" s="231">
        <v>21245</v>
      </c>
      <c r="D540" s="5">
        <v>12</v>
      </c>
      <c r="E540" s="67" t="e">
        <v>#N/A</v>
      </c>
      <c r="M540" t="e">
        <v>#N/A</v>
      </c>
    </row>
    <row r="541" spans="1:13" ht="52.8" x14ac:dyDescent="0.25">
      <c r="A541" s="40" t="s">
        <v>676</v>
      </c>
      <c r="B541" s="229" t="s">
        <v>677</v>
      </c>
      <c r="C541" s="231">
        <v>18780</v>
      </c>
      <c r="D541" s="5">
        <v>12</v>
      </c>
      <c r="E541" s="67" t="e">
        <v>#N/A</v>
      </c>
      <c r="M541" t="e">
        <v>#N/A</v>
      </c>
    </row>
    <row r="542" spans="1:13" ht="52.8" x14ac:dyDescent="0.25">
      <c r="A542" s="40" t="s">
        <v>678</v>
      </c>
      <c r="B542" s="229" t="s">
        <v>679</v>
      </c>
      <c r="C542" s="231">
        <v>20965</v>
      </c>
      <c r="D542" s="5">
        <v>12</v>
      </c>
      <c r="E542" s="67" t="e">
        <v>#N/A</v>
      </c>
      <c r="M542" t="e">
        <v>#N/A</v>
      </c>
    </row>
    <row r="543" spans="1:13" ht="52.8" x14ac:dyDescent="0.25">
      <c r="A543" s="40" t="s">
        <v>680</v>
      </c>
      <c r="B543" s="230" t="s">
        <v>681</v>
      </c>
      <c r="C543" s="231">
        <v>30720</v>
      </c>
      <c r="D543" s="5">
        <v>12</v>
      </c>
      <c r="E543" s="67" t="e">
        <v>#N/A</v>
      </c>
      <c r="M543" t="e">
        <v>#N/A</v>
      </c>
    </row>
    <row r="544" spans="1:13" x14ac:dyDescent="0.25">
      <c r="A544" s="40"/>
      <c r="B544" s="47" t="s">
        <v>29</v>
      </c>
      <c r="C544" s="117"/>
      <c r="D544" s="40"/>
      <c r="E544" s="67" t="e">
        <v>#N/A</v>
      </c>
      <c r="M544" t="e">
        <v>#N/A</v>
      </c>
    </row>
    <row r="545" spans="1:13" x14ac:dyDescent="0.25">
      <c r="A545" s="40" t="s">
        <v>682</v>
      </c>
      <c r="B545" s="47" t="s">
        <v>683</v>
      </c>
      <c r="C545" s="117">
        <v>13588</v>
      </c>
      <c r="D545" s="40">
        <v>6</v>
      </c>
      <c r="E545" s="67">
        <v>4.2087499999999998E-3</v>
      </c>
      <c r="M545">
        <v>4.2087499999999998E-3</v>
      </c>
    </row>
    <row r="546" spans="1:13" x14ac:dyDescent="0.25">
      <c r="A546" s="40" t="s">
        <v>684</v>
      </c>
      <c r="B546" s="47" t="s">
        <v>685</v>
      </c>
      <c r="C546" s="117">
        <v>10910</v>
      </c>
      <c r="D546" s="40">
        <v>6</v>
      </c>
      <c r="E546" s="67">
        <v>5.7120000000000001E-3</v>
      </c>
      <c r="M546">
        <v>5.7120000000000001E-3</v>
      </c>
    </row>
    <row r="547" spans="1:13" x14ac:dyDescent="0.25">
      <c r="A547" s="238">
        <v>2502</v>
      </c>
      <c r="B547" s="239" t="s">
        <v>686</v>
      </c>
      <c r="C547" s="240">
        <v>3500</v>
      </c>
      <c r="D547" s="238">
        <v>12</v>
      </c>
      <c r="E547" s="67" t="e">
        <v>#N/A</v>
      </c>
      <c r="M547" t="e">
        <v>#N/A</v>
      </c>
    </row>
    <row r="548" spans="1:13" x14ac:dyDescent="0.25">
      <c r="A548" s="238" t="s">
        <v>687</v>
      </c>
      <c r="B548" s="239" t="s">
        <v>688</v>
      </c>
      <c r="C548" s="240">
        <v>3500</v>
      </c>
      <c r="D548" s="246">
        <v>12</v>
      </c>
      <c r="E548" s="67" t="e">
        <v>#N/A</v>
      </c>
      <c r="M548" t="e">
        <v>#N/A</v>
      </c>
    </row>
    <row r="549" spans="1:13" x14ac:dyDescent="0.25">
      <c r="A549" s="238">
        <v>2505</v>
      </c>
      <c r="B549" s="241" t="s">
        <v>689</v>
      </c>
      <c r="C549" s="242">
        <v>4800</v>
      </c>
      <c r="D549" s="246">
        <v>12</v>
      </c>
      <c r="E549" s="67" t="e">
        <v>#N/A</v>
      </c>
      <c r="M549" t="e">
        <v>#N/A</v>
      </c>
    </row>
    <row r="550" spans="1:13" x14ac:dyDescent="0.25">
      <c r="A550" s="238" t="s">
        <v>690</v>
      </c>
      <c r="B550" s="241" t="s">
        <v>691</v>
      </c>
      <c r="C550" s="242">
        <v>4800</v>
      </c>
      <c r="D550" s="246">
        <v>12</v>
      </c>
      <c r="E550" s="67" t="e">
        <v>#N/A</v>
      </c>
      <c r="M550" t="e">
        <v>#N/A</v>
      </c>
    </row>
    <row r="551" spans="1:13" x14ac:dyDescent="0.25">
      <c r="A551" s="238">
        <v>2508</v>
      </c>
      <c r="B551" s="241" t="s">
        <v>692</v>
      </c>
      <c r="C551" s="242">
        <v>5700</v>
      </c>
      <c r="D551" s="246">
        <v>12</v>
      </c>
      <c r="E551" s="67" t="e">
        <v>#N/A</v>
      </c>
      <c r="M551" t="e">
        <v>#N/A</v>
      </c>
    </row>
    <row r="552" spans="1:13" x14ac:dyDescent="0.25">
      <c r="A552" s="238" t="s">
        <v>693</v>
      </c>
      <c r="B552" s="241" t="s">
        <v>694</v>
      </c>
      <c r="C552" s="242">
        <v>5700</v>
      </c>
      <c r="D552" s="246">
        <v>12</v>
      </c>
      <c r="E552" s="67" t="e">
        <v>#N/A</v>
      </c>
      <c r="M552" t="e">
        <v>#N/A</v>
      </c>
    </row>
    <row r="553" spans="1:13" x14ac:dyDescent="0.25">
      <c r="A553" s="243">
        <v>2511</v>
      </c>
      <c r="B553" s="244" t="s">
        <v>695</v>
      </c>
      <c r="C553" s="245">
        <v>8800</v>
      </c>
      <c r="D553" s="246">
        <v>12</v>
      </c>
      <c r="E553" s="67" t="e">
        <v>#N/A</v>
      </c>
      <c r="M553" t="e">
        <v>#N/A</v>
      </c>
    </row>
    <row r="554" spans="1:13" x14ac:dyDescent="0.25">
      <c r="A554" s="243" t="s">
        <v>696</v>
      </c>
      <c r="B554" s="244" t="s">
        <v>697</v>
      </c>
      <c r="C554" s="245">
        <v>8800</v>
      </c>
      <c r="D554" s="246">
        <v>12</v>
      </c>
      <c r="E554" s="67" t="e">
        <v>#N/A</v>
      </c>
      <c r="M554" t="e">
        <v>#N/A</v>
      </c>
    </row>
    <row r="555" spans="1:13" x14ac:dyDescent="0.25">
      <c r="A555" s="243">
        <v>2520</v>
      </c>
      <c r="B555" s="244" t="s">
        <v>698</v>
      </c>
      <c r="C555" s="245">
        <v>10200</v>
      </c>
      <c r="D555" s="246">
        <v>12</v>
      </c>
      <c r="E555" s="67" t="e">
        <v>#N/A</v>
      </c>
      <c r="M555" t="e">
        <v>#N/A</v>
      </c>
    </row>
    <row r="556" spans="1:13" x14ac:dyDescent="0.25">
      <c r="A556" s="243" t="s">
        <v>699</v>
      </c>
      <c r="B556" s="244" t="s">
        <v>700</v>
      </c>
      <c r="C556" s="245">
        <v>10200</v>
      </c>
      <c r="D556" s="246">
        <v>12</v>
      </c>
      <c r="E556" s="67" t="e">
        <v>#N/A</v>
      </c>
      <c r="M556" t="e">
        <v>#N/A</v>
      </c>
    </row>
    <row r="557" spans="1:13" ht="14.4" x14ac:dyDescent="0.25">
      <c r="A557" s="210" t="s">
        <v>701</v>
      </c>
      <c r="B557" s="250" t="s">
        <v>702</v>
      </c>
      <c r="C557" s="211">
        <v>2821</v>
      </c>
      <c r="D557" s="40">
        <v>176</v>
      </c>
      <c r="E557" s="67">
        <v>1.1928520000000001E-3</v>
      </c>
      <c r="M557">
        <v>1.1928520000000001E-3</v>
      </c>
    </row>
    <row r="558" spans="1:13" ht="14.4" x14ac:dyDescent="0.25">
      <c r="A558" s="1" t="s">
        <v>703</v>
      </c>
      <c r="B558" s="212" t="s">
        <v>704</v>
      </c>
      <c r="C558" s="211">
        <v>2502</v>
      </c>
      <c r="D558" s="40">
        <v>176</v>
      </c>
      <c r="E558" s="67" t="e">
        <v>#N/A</v>
      </c>
      <c r="M558" t="e">
        <v>#N/A</v>
      </c>
    </row>
    <row r="559" spans="1:13" ht="14.4" x14ac:dyDescent="0.25">
      <c r="A559" s="210" t="s">
        <v>705</v>
      </c>
      <c r="B559" s="212" t="s">
        <v>706</v>
      </c>
      <c r="C559" s="211">
        <v>1365</v>
      </c>
      <c r="D559" s="40">
        <v>166</v>
      </c>
      <c r="E559" s="67">
        <v>5.9273500000000005E-4</v>
      </c>
      <c r="M559">
        <v>5.9273500000000005E-4</v>
      </c>
    </row>
    <row r="560" spans="1:13" ht="14.4" x14ac:dyDescent="0.25">
      <c r="A560" s="210" t="s">
        <v>707</v>
      </c>
      <c r="B560" s="212" t="s">
        <v>708</v>
      </c>
      <c r="C560" s="211">
        <v>1365</v>
      </c>
      <c r="D560" s="40">
        <v>166</v>
      </c>
      <c r="E560" s="67">
        <v>5.9273500000000005E-4</v>
      </c>
      <c r="M560">
        <v>5.9273500000000005E-4</v>
      </c>
    </row>
    <row r="561" spans="1:13" ht="14.4" x14ac:dyDescent="0.25">
      <c r="A561" s="210" t="s">
        <v>709</v>
      </c>
      <c r="B561" s="212" t="s">
        <v>710</v>
      </c>
      <c r="C561" s="211">
        <v>3410</v>
      </c>
      <c r="D561" s="40">
        <v>54</v>
      </c>
      <c r="E561" s="67" t="e">
        <v>#N/A</v>
      </c>
      <c r="M561" t="e">
        <v>#N/A</v>
      </c>
    </row>
    <row r="562" spans="1:13" ht="14.4" x14ac:dyDescent="0.25">
      <c r="A562" s="210" t="s">
        <v>711</v>
      </c>
      <c r="B562" s="212" t="s">
        <v>712</v>
      </c>
      <c r="C562" s="211">
        <v>3919</v>
      </c>
      <c r="D562" s="40">
        <v>42</v>
      </c>
      <c r="E562" s="67" t="e">
        <v>#N/A</v>
      </c>
      <c r="M562" t="e">
        <v>#N/A</v>
      </c>
    </row>
    <row r="563" spans="1:13" ht="14.4" x14ac:dyDescent="0.25">
      <c r="A563" s="210" t="s">
        <v>713</v>
      </c>
      <c r="B563" s="212" t="s">
        <v>714</v>
      </c>
      <c r="C563" s="211">
        <v>3395</v>
      </c>
      <c r="D563" s="40">
        <v>32</v>
      </c>
      <c r="E563" s="67" t="e">
        <v>#N/A</v>
      </c>
      <c r="M563" t="e">
        <v>#N/A</v>
      </c>
    </row>
    <row r="564" spans="1:13" ht="14.4" x14ac:dyDescent="0.25">
      <c r="A564" s="210" t="s">
        <v>715</v>
      </c>
      <c r="B564" s="212" t="s">
        <v>716</v>
      </c>
      <c r="C564" s="211">
        <v>3168</v>
      </c>
      <c r="D564" s="40">
        <v>72</v>
      </c>
      <c r="E564" s="67" t="e">
        <v>#N/A</v>
      </c>
      <c r="M564" t="e">
        <v>#N/A</v>
      </c>
    </row>
    <row r="565" spans="1:13" ht="14.4" x14ac:dyDescent="0.25">
      <c r="A565" s="210" t="s">
        <v>717</v>
      </c>
      <c r="B565" s="212" t="s">
        <v>718</v>
      </c>
      <c r="C565" s="211">
        <v>2545</v>
      </c>
      <c r="D565" s="40">
        <v>65</v>
      </c>
      <c r="E565" s="67" t="e">
        <v>#N/A</v>
      </c>
      <c r="M565" t="e">
        <v>#N/A</v>
      </c>
    </row>
    <row r="566" spans="1:13" ht="14.4" x14ac:dyDescent="0.25">
      <c r="A566" s="210" t="s">
        <v>719</v>
      </c>
      <c r="B566" s="212" t="s">
        <v>720</v>
      </c>
      <c r="C566" s="211">
        <v>3116</v>
      </c>
      <c r="D566" s="40">
        <v>110</v>
      </c>
      <c r="E566" s="67" t="e">
        <v>#N/A</v>
      </c>
      <c r="M566" t="e">
        <v>#N/A</v>
      </c>
    </row>
    <row r="567" spans="1:13" ht="14.4" x14ac:dyDescent="0.25">
      <c r="A567" s="210" t="s">
        <v>721</v>
      </c>
      <c r="B567" s="212" t="s">
        <v>722</v>
      </c>
      <c r="C567" s="211">
        <v>2170</v>
      </c>
      <c r="D567" s="40">
        <v>57</v>
      </c>
      <c r="E567" s="67" t="e">
        <v>#N/A</v>
      </c>
      <c r="M567" t="e">
        <v>#N/A</v>
      </c>
    </row>
    <row r="568" spans="1:13" ht="14.4" x14ac:dyDescent="0.25">
      <c r="A568" s="210" t="s">
        <v>723</v>
      </c>
      <c r="B568" s="212" t="s">
        <v>724</v>
      </c>
      <c r="C568" s="211">
        <v>4530</v>
      </c>
      <c r="D568" s="40">
        <v>104</v>
      </c>
      <c r="E568" s="67" t="e">
        <v>#N/A</v>
      </c>
      <c r="M568" t="e">
        <v>#N/A</v>
      </c>
    </row>
    <row r="569" spans="1:13" ht="14.4" x14ac:dyDescent="0.25">
      <c r="A569" s="210" t="s">
        <v>725</v>
      </c>
      <c r="B569" s="212" t="s">
        <v>726</v>
      </c>
      <c r="C569" s="211">
        <v>4530</v>
      </c>
      <c r="D569" s="40">
        <v>88</v>
      </c>
      <c r="E569" s="67" t="e">
        <v>#N/A</v>
      </c>
      <c r="M569" t="e">
        <v>#N/A</v>
      </c>
    </row>
    <row r="570" spans="1:13" ht="14.4" x14ac:dyDescent="0.25">
      <c r="A570" s="210" t="s">
        <v>727</v>
      </c>
      <c r="B570" s="212" t="s">
        <v>728</v>
      </c>
      <c r="C570" s="211"/>
      <c r="D570" s="40">
        <v>1</v>
      </c>
      <c r="E570" s="67" t="e">
        <v>#N/A</v>
      </c>
      <c r="M570" t="e">
        <v>#N/A</v>
      </c>
    </row>
    <row r="571" spans="1:13" ht="14.4" x14ac:dyDescent="0.25">
      <c r="A571" s="210" t="s">
        <v>729</v>
      </c>
      <c r="B571" s="212" t="s">
        <v>730</v>
      </c>
      <c r="C571" s="211"/>
      <c r="D571" s="40">
        <v>1</v>
      </c>
      <c r="E571" s="67" t="e">
        <v>#N/A</v>
      </c>
      <c r="M571" t="e">
        <v>#N/A</v>
      </c>
    </row>
    <row r="572" spans="1:13" ht="14.4" x14ac:dyDescent="0.25">
      <c r="A572" s="210">
        <v>2502</v>
      </c>
      <c r="B572" s="212" t="s">
        <v>686</v>
      </c>
      <c r="C572" s="211">
        <v>3500</v>
      </c>
      <c r="D572" s="40">
        <v>12</v>
      </c>
      <c r="E572" s="67" t="e">
        <v>#N/A</v>
      </c>
      <c r="M572" t="e">
        <v>#N/A</v>
      </c>
    </row>
    <row r="573" spans="1:13" ht="14.4" x14ac:dyDescent="0.25">
      <c r="A573" s="210" t="s">
        <v>687</v>
      </c>
      <c r="B573" s="212" t="s">
        <v>688</v>
      </c>
      <c r="C573" s="211">
        <v>3500</v>
      </c>
      <c r="D573" s="40">
        <v>12</v>
      </c>
      <c r="E573" s="67" t="e">
        <v>#N/A</v>
      </c>
      <c r="M573" t="e">
        <v>#N/A</v>
      </c>
    </row>
    <row r="574" spans="1:13" ht="14.4" x14ac:dyDescent="0.25">
      <c r="A574" s="210">
        <v>2505</v>
      </c>
      <c r="B574" s="212" t="s">
        <v>689</v>
      </c>
      <c r="C574" s="211">
        <v>4800</v>
      </c>
      <c r="D574" s="40">
        <v>12</v>
      </c>
      <c r="E574" s="67" t="e">
        <v>#N/A</v>
      </c>
      <c r="M574" t="e">
        <v>#N/A</v>
      </c>
    </row>
    <row r="575" spans="1:13" ht="14.4" x14ac:dyDescent="0.25">
      <c r="A575" s="210" t="s">
        <v>690</v>
      </c>
      <c r="B575" s="212" t="s">
        <v>691</v>
      </c>
      <c r="C575" s="211">
        <v>4800</v>
      </c>
      <c r="D575" s="40">
        <v>12</v>
      </c>
      <c r="E575" s="67" t="e">
        <v>#N/A</v>
      </c>
      <c r="M575" t="e">
        <v>#N/A</v>
      </c>
    </row>
    <row r="576" spans="1:13" ht="14.4" x14ac:dyDescent="0.25">
      <c r="A576" s="210">
        <v>2508</v>
      </c>
      <c r="B576" s="212" t="s">
        <v>692</v>
      </c>
      <c r="C576" s="211">
        <v>5700</v>
      </c>
      <c r="D576" s="40">
        <v>12</v>
      </c>
      <c r="E576" s="67" t="e">
        <v>#N/A</v>
      </c>
      <c r="M576" t="e">
        <v>#N/A</v>
      </c>
    </row>
    <row r="577" spans="1:13" ht="14.4" x14ac:dyDescent="0.25">
      <c r="A577" s="210" t="s">
        <v>693</v>
      </c>
      <c r="B577" s="212" t="s">
        <v>694</v>
      </c>
      <c r="C577" s="211">
        <v>5700</v>
      </c>
      <c r="D577" s="40">
        <v>12</v>
      </c>
      <c r="E577" s="67" t="e">
        <v>#N/A</v>
      </c>
      <c r="M577" t="e">
        <v>#N/A</v>
      </c>
    </row>
    <row r="578" spans="1:13" ht="14.4" x14ac:dyDescent="0.25">
      <c r="A578" s="210">
        <v>2511</v>
      </c>
      <c r="B578" s="212" t="s">
        <v>695</v>
      </c>
      <c r="C578" s="211">
        <v>8800</v>
      </c>
      <c r="D578" s="40">
        <v>12</v>
      </c>
      <c r="E578" s="67" t="e">
        <v>#N/A</v>
      </c>
      <c r="M578" t="e">
        <v>#N/A</v>
      </c>
    </row>
    <row r="579" spans="1:13" ht="14.4" x14ac:dyDescent="0.25">
      <c r="A579" s="210" t="s">
        <v>696</v>
      </c>
      <c r="B579" s="212" t="s">
        <v>697</v>
      </c>
      <c r="C579" s="211">
        <v>8800</v>
      </c>
      <c r="D579" s="40">
        <v>12</v>
      </c>
      <c r="E579" s="67" t="e">
        <v>#N/A</v>
      </c>
      <c r="M579" t="e">
        <v>#N/A</v>
      </c>
    </row>
    <row r="580" spans="1:13" ht="14.4" x14ac:dyDescent="0.25">
      <c r="A580" s="210">
        <v>2520</v>
      </c>
      <c r="B580" s="212" t="s">
        <v>698</v>
      </c>
      <c r="C580" s="211">
        <v>10200</v>
      </c>
      <c r="D580" s="40">
        <v>12</v>
      </c>
      <c r="E580" s="67" t="e">
        <v>#N/A</v>
      </c>
      <c r="M580" t="e">
        <v>#N/A</v>
      </c>
    </row>
    <row r="581" spans="1:13" ht="14.4" x14ac:dyDescent="0.25">
      <c r="A581" s="210" t="s">
        <v>699</v>
      </c>
      <c r="B581" s="212" t="s">
        <v>700</v>
      </c>
      <c r="C581" s="211">
        <v>10200</v>
      </c>
      <c r="D581" s="40">
        <v>12</v>
      </c>
      <c r="E581" s="67" t="e">
        <v>#N/A</v>
      </c>
      <c r="M581" t="e">
        <v>#N/A</v>
      </c>
    </row>
    <row r="582" spans="1:13" ht="14.4" x14ac:dyDescent="0.25">
      <c r="A582" s="210" t="s">
        <v>778</v>
      </c>
      <c r="B582" s="212" t="s">
        <v>779</v>
      </c>
      <c r="C582" s="211">
        <v>7980</v>
      </c>
      <c r="D582" s="40">
        <v>6</v>
      </c>
      <c r="E582" s="67" t="e">
        <v>#N/A</v>
      </c>
      <c r="M582" t="e">
        <v>#N/A</v>
      </c>
    </row>
    <row r="583" spans="1:13" ht="14.4" x14ac:dyDescent="0.25">
      <c r="A583" s="210" t="s">
        <v>780</v>
      </c>
      <c r="B583" s="212" t="s">
        <v>781</v>
      </c>
      <c r="C583" s="211">
        <v>7980</v>
      </c>
      <c r="D583" s="40">
        <v>6</v>
      </c>
      <c r="E583" s="67" t="e">
        <v>#N/A</v>
      </c>
      <c r="M583" t="e">
        <v>#N/A</v>
      </c>
    </row>
    <row r="584" spans="1:13" ht="14.4" x14ac:dyDescent="0.25">
      <c r="A584" s="213" t="s">
        <v>782</v>
      </c>
      <c r="B584" s="214" t="s">
        <v>783</v>
      </c>
      <c r="C584" s="215">
        <v>21580</v>
      </c>
      <c r="D584" s="40">
        <v>1</v>
      </c>
      <c r="E584" s="67" t="e">
        <v>#N/A</v>
      </c>
      <c r="M584" t="e">
        <v>#N/A</v>
      </c>
    </row>
    <row r="585" spans="1:13" x14ac:dyDescent="0.25">
      <c r="A585" s="1">
        <v>132</v>
      </c>
      <c r="B585" t="s">
        <v>784</v>
      </c>
      <c r="C585" s="209">
        <v>2980</v>
      </c>
      <c r="D585" s="1">
        <v>12</v>
      </c>
    </row>
    <row r="586" spans="1:13" x14ac:dyDescent="0.25">
      <c r="A586" s="84">
        <v>690</v>
      </c>
      <c r="B586" s="83" t="s">
        <v>785</v>
      </c>
      <c r="C586" s="216">
        <v>1530</v>
      </c>
      <c r="D586" s="84">
        <v>12</v>
      </c>
    </row>
    <row r="587" spans="1:13" x14ac:dyDescent="0.25">
      <c r="A587" s="77">
        <v>691</v>
      </c>
      <c r="B587" s="75" t="s">
        <v>786</v>
      </c>
      <c r="C587" s="217">
        <v>1350</v>
      </c>
      <c r="D587" s="77">
        <v>12</v>
      </c>
    </row>
    <row r="588" spans="1:13" x14ac:dyDescent="0.25">
      <c r="A588" s="77" t="s">
        <v>787</v>
      </c>
      <c r="B588" s="75" t="s">
        <v>788</v>
      </c>
      <c r="C588" s="217">
        <v>3116</v>
      </c>
      <c r="D588" s="77">
        <v>1</v>
      </c>
    </row>
    <row r="589" spans="1:13" x14ac:dyDescent="0.25">
      <c r="A589" s="77" t="s">
        <v>727</v>
      </c>
      <c r="B589" s="75" t="s">
        <v>789</v>
      </c>
      <c r="C589" s="217">
        <v>19049</v>
      </c>
      <c r="D589" s="77">
        <v>1</v>
      </c>
    </row>
    <row r="590" spans="1:13" x14ac:dyDescent="0.25">
      <c r="A590" s="273" t="s">
        <v>790</v>
      </c>
      <c r="B590" s="274" t="s">
        <v>791</v>
      </c>
      <c r="C590" s="275">
        <v>1399</v>
      </c>
      <c r="D590" s="77">
        <v>1</v>
      </c>
    </row>
    <row r="591" spans="1:13" x14ac:dyDescent="0.25">
      <c r="A591" s="271" t="s">
        <v>792</v>
      </c>
      <c r="B591" s="276" t="s">
        <v>793</v>
      </c>
      <c r="C591" s="272">
        <v>5950</v>
      </c>
      <c r="D591" s="77">
        <v>12</v>
      </c>
    </row>
    <row r="592" spans="1:13" x14ac:dyDescent="0.25">
      <c r="A592" s="278">
        <v>1320</v>
      </c>
      <c r="B592" s="241" t="s">
        <v>836</v>
      </c>
      <c r="C592" s="279">
        <v>3640</v>
      </c>
      <c r="D592" s="283">
        <v>6</v>
      </c>
    </row>
    <row r="593" spans="1:5" x14ac:dyDescent="0.25">
      <c r="A593" s="278" t="s">
        <v>837</v>
      </c>
      <c r="B593" s="241" t="s">
        <v>838</v>
      </c>
      <c r="C593" s="279">
        <v>3640</v>
      </c>
      <c r="D593" s="283">
        <v>6</v>
      </c>
    </row>
    <row r="594" spans="1:5" x14ac:dyDescent="0.25">
      <c r="A594" s="278" t="s">
        <v>839</v>
      </c>
      <c r="B594" s="241" t="s">
        <v>840</v>
      </c>
      <c r="C594" s="279">
        <v>3640</v>
      </c>
      <c r="D594" s="283">
        <v>6</v>
      </c>
      <c r="E594" s="75"/>
    </row>
    <row r="595" spans="1:5" x14ac:dyDescent="0.25">
      <c r="A595" s="278">
        <v>1321</v>
      </c>
      <c r="B595" s="241" t="s">
        <v>841</v>
      </c>
      <c r="C595" s="279">
        <v>4990</v>
      </c>
      <c r="D595" s="283">
        <v>6</v>
      </c>
    </row>
    <row r="596" spans="1:5" x14ac:dyDescent="0.25">
      <c r="A596" s="278" t="s">
        <v>842</v>
      </c>
      <c r="B596" s="241" t="s">
        <v>843</v>
      </c>
      <c r="C596" s="279">
        <v>4990</v>
      </c>
      <c r="D596" s="283">
        <v>6</v>
      </c>
    </row>
    <row r="597" spans="1:5" x14ac:dyDescent="0.25">
      <c r="A597" s="278" t="s">
        <v>844</v>
      </c>
      <c r="B597" s="241" t="s">
        <v>845</v>
      </c>
      <c r="C597" s="279">
        <v>4990</v>
      </c>
      <c r="D597" s="283">
        <v>6</v>
      </c>
    </row>
    <row r="598" spans="1:5" x14ac:dyDescent="0.25">
      <c r="A598" s="278">
        <v>1322</v>
      </c>
      <c r="B598" s="241" t="s">
        <v>846</v>
      </c>
      <c r="C598" s="279">
        <v>3300</v>
      </c>
      <c r="D598" s="283">
        <v>6</v>
      </c>
    </row>
    <row r="599" spans="1:5" x14ac:dyDescent="0.25">
      <c r="A599" s="278" t="s">
        <v>847</v>
      </c>
      <c r="B599" s="241" t="s">
        <v>848</v>
      </c>
      <c r="C599" s="279">
        <v>3300</v>
      </c>
      <c r="D599" s="283">
        <v>6</v>
      </c>
    </row>
    <row r="600" spans="1:5" x14ac:dyDescent="0.25">
      <c r="A600" s="278" t="s">
        <v>849</v>
      </c>
      <c r="B600" s="241" t="s">
        <v>850</v>
      </c>
      <c r="C600" s="279">
        <v>3300</v>
      </c>
      <c r="D600" s="283">
        <v>6</v>
      </c>
    </row>
    <row r="601" spans="1:5" x14ac:dyDescent="0.25">
      <c r="A601" s="278">
        <v>1323</v>
      </c>
      <c r="B601" s="241" t="s">
        <v>851</v>
      </c>
      <c r="C601" s="279">
        <v>12990</v>
      </c>
      <c r="D601" s="283">
        <v>4</v>
      </c>
    </row>
    <row r="602" spans="1:5" x14ac:dyDescent="0.25">
      <c r="A602" s="278" t="s">
        <v>852</v>
      </c>
      <c r="B602" s="241" t="s">
        <v>853</v>
      </c>
      <c r="C602" s="279">
        <v>12990</v>
      </c>
      <c r="D602" s="283">
        <v>4</v>
      </c>
    </row>
    <row r="603" spans="1:5" x14ac:dyDescent="0.25">
      <c r="A603" s="278" t="s">
        <v>854</v>
      </c>
      <c r="B603" s="241" t="s">
        <v>855</v>
      </c>
      <c r="C603" s="279">
        <v>12990</v>
      </c>
      <c r="D603" s="283">
        <v>4</v>
      </c>
    </row>
    <row r="604" spans="1:5" x14ac:dyDescent="0.25">
      <c r="A604" s="278">
        <v>1324</v>
      </c>
      <c r="B604" s="241" t="s">
        <v>856</v>
      </c>
      <c r="C604" s="279">
        <v>6860</v>
      </c>
      <c r="D604" s="283">
        <v>6</v>
      </c>
    </row>
    <row r="605" spans="1:5" x14ac:dyDescent="0.25">
      <c r="A605" s="278" t="s">
        <v>857</v>
      </c>
      <c r="B605" s="280" t="s">
        <v>858</v>
      </c>
      <c r="C605" s="279">
        <v>6860</v>
      </c>
      <c r="D605" s="283">
        <v>6</v>
      </c>
    </row>
    <row r="606" spans="1:5" x14ac:dyDescent="0.25">
      <c r="A606" s="278" t="s">
        <v>859</v>
      </c>
      <c r="B606" s="241" t="s">
        <v>860</v>
      </c>
      <c r="C606" s="279">
        <v>6860</v>
      </c>
      <c r="D606" s="283">
        <v>6</v>
      </c>
    </row>
    <row r="607" spans="1:5" x14ac:dyDescent="0.25">
      <c r="A607" s="278">
        <v>1325</v>
      </c>
      <c r="B607" s="241" t="s">
        <v>861</v>
      </c>
      <c r="C607" s="279">
        <v>15710</v>
      </c>
      <c r="D607" s="283">
        <v>4</v>
      </c>
    </row>
    <row r="608" spans="1:5" x14ac:dyDescent="0.25">
      <c r="A608" s="278" t="s">
        <v>862</v>
      </c>
      <c r="B608" s="241" t="s">
        <v>863</v>
      </c>
      <c r="C608" s="281">
        <v>15710</v>
      </c>
      <c r="D608" s="283">
        <v>4</v>
      </c>
    </row>
    <row r="609" spans="1:4" x14ac:dyDescent="0.25">
      <c r="A609" s="282">
        <v>1326</v>
      </c>
      <c r="B609" s="241" t="s">
        <v>864</v>
      </c>
      <c r="C609" s="279">
        <v>4990</v>
      </c>
      <c r="D609" s="283">
        <v>6</v>
      </c>
    </row>
    <row r="610" spans="1:4" x14ac:dyDescent="0.25">
      <c r="A610" s="74"/>
      <c r="B610" s="75"/>
      <c r="C610" s="76"/>
      <c r="D610" s="77"/>
    </row>
    <row r="611" spans="1:4" ht="14.4" thickBot="1" x14ac:dyDescent="0.3">
      <c r="A611" s="74"/>
      <c r="B611" s="75"/>
      <c r="C611" s="80"/>
      <c r="D611" s="77"/>
    </row>
    <row r="612" spans="1:4" ht="14.4" thickTop="1" x14ac:dyDescent="0.25"/>
  </sheetData>
  <phoneticPr fontId="0" type="noConversion"/>
  <conditionalFormatting sqref="A2:A15">
    <cfRule type="duplicateValues" dxfId="15" priority="32"/>
  </conditionalFormatting>
  <conditionalFormatting sqref="A17:A42">
    <cfRule type="expression" dxfId="14" priority="7">
      <formula>ROW()=EVEN(ROW())</formula>
    </cfRule>
  </conditionalFormatting>
  <conditionalFormatting sqref="A29">
    <cfRule type="duplicateValues" dxfId="13" priority="6" stopIfTrue="1"/>
  </conditionalFormatting>
  <conditionalFormatting sqref="A525">
    <cfRule type="duplicateValues" dxfId="12" priority="5"/>
  </conditionalFormatting>
  <conditionalFormatting sqref="A527">
    <cfRule type="duplicateValues" dxfId="11" priority="3"/>
    <cfRule type="duplicateValues" dxfId="10" priority="4"/>
  </conditionalFormatting>
  <conditionalFormatting sqref="A559:A584 A557:B557">
    <cfRule type="duplicateValues" dxfId="9" priority="30"/>
    <cfRule type="duplicateValues" dxfId="8" priority="31"/>
  </conditionalFormatting>
  <conditionalFormatting sqref="A611">
    <cfRule type="duplicateValues" dxfId="7" priority="28" stopIfTrue="1"/>
  </conditionalFormatting>
  <conditionalFormatting sqref="A610:B611">
    <cfRule type="expression" dxfId="6" priority="29">
      <formula>ROW()=EVEN(ROW())</formula>
    </cfRule>
  </conditionalFormatting>
  <conditionalFormatting sqref="A586:D589 D590:D591 C610:D611">
    <cfRule type="expression" dxfId="5" priority="16">
      <formula>ROW()=EVEN(ROW())</formula>
    </cfRule>
  </conditionalFormatting>
  <conditionalFormatting sqref="B42">
    <cfRule type="expression" dxfId="4" priority="9">
      <formula>ROW()=EVEN(ROW())</formula>
    </cfRule>
  </conditionalFormatting>
  <conditionalFormatting sqref="B17:C29">
    <cfRule type="expression" dxfId="3" priority="1">
      <formula>ROW()=EVEN(ROW())</formula>
    </cfRule>
  </conditionalFormatting>
  <conditionalFormatting sqref="D17:D42">
    <cfRule type="expression" dxfId="2" priority="10">
      <formula>ROW()=EVEN(ROW())</formula>
    </cfRule>
  </conditionalFormatting>
  <conditionalFormatting sqref="E594">
    <cfRule type="expression" dxfId="1" priority="19">
      <formula>ROW()=EVEN(ROW())</formula>
    </cfRule>
  </conditionalFormatting>
  <conditionalFormatting sqref="M39:M42">
    <cfRule type="expression" dxfId="0" priority="2">
      <formula>ROW()=EVEN(ROW())</formula>
    </cfRule>
  </conditionalFormatting>
  <pageMargins left="0" right="0" top="0.19685039370078741" bottom="0.19685039370078741" header="0" footer="0"/>
  <pageSetup paperSize="9" scale="1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9"/>
  <sheetViews>
    <sheetView showGridLines="0" tabSelected="1" view="pageBreakPreview" zoomScale="85" zoomScaleNormal="100" zoomScaleSheetLayoutView="85" workbookViewId="0">
      <selection activeCell="E7" sqref="E7"/>
    </sheetView>
  </sheetViews>
  <sheetFormatPr defaultColWidth="9.109375" defaultRowHeight="0" customHeight="1" zeroHeight="1" x14ac:dyDescent="0.3"/>
  <cols>
    <col min="1" max="1" width="14.33203125" style="228" customWidth="1"/>
    <col min="2" max="2" width="9" style="228" customWidth="1"/>
    <col min="3" max="3" width="39.6640625" customWidth="1"/>
    <col min="4" max="4" width="11.6640625" style="6" customWidth="1"/>
    <col min="5" max="5" width="6.109375" customWidth="1"/>
    <col min="6" max="6" width="14.109375" style="6" customWidth="1"/>
    <col min="7" max="7" width="11" customWidth="1"/>
    <col min="8" max="8" width="14.5546875" customWidth="1"/>
    <col min="9" max="9" width="29.88671875" customWidth="1"/>
    <col min="10" max="10" width="0" hidden="1" customWidth="1"/>
    <col min="11" max="18" width="11.44140625" customWidth="1"/>
    <col min="19" max="19" width="11.44140625" hidden="1" customWidth="1"/>
    <col min="20" max="256" width="11.44140625" customWidth="1"/>
  </cols>
  <sheetData>
    <row r="1" spans="1:19" ht="14.4" x14ac:dyDescent="0.3">
      <c r="A1" s="255" t="s">
        <v>731</v>
      </c>
      <c r="B1" s="284" t="s">
        <v>865</v>
      </c>
      <c r="C1" s="294"/>
      <c r="D1" s="295"/>
      <c r="E1" s="236" t="s">
        <v>732</v>
      </c>
      <c r="F1" s="290" t="s">
        <v>866</v>
      </c>
      <c r="G1" s="291"/>
      <c r="H1" s="222" t="s">
        <v>733</v>
      </c>
      <c r="I1" s="223"/>
      <c r="K1" s="12"/>
      <c r="M1" s="2"/>
      <c r="N1" s="1"/>
    </row>
    <row r="2" spans="1:19" ht="14.4" x14ac:dyDescent="0.3">
      <c r="A2" s="256" t="s">
        <v>734</v>
      </c>
      <c r="B2" s="296"/>
      <c r="C2" s="285"/>
      <c r="D2" s="297"/>
      <c r="E2" s="237" t="s">
        <v>735</v>
      </c>
      <c r="F2" s="292">
        <f ca="1">TODAY()</f>
        <v>46185</v>
      </c>
      <c r="G2" s="293"/>
      <c r="M2" s="2"/>
      <c r="N2" s="1"/>
      <c r="S2" t="s">
        <v>736</v>
      </c>
    </row>
    <row r="3" spans="1:19" ht="21.6" thickBot="1" x14ac:dyDescent="0.3">
      <c r="A3" s="277" t="s">
        <v>794</v>
      </c>
      <c r="B3" s="251"/>
      <c r="C3" s="252"/>
      <c r="D3" s="253"/>
      <c r="E3" s="25" t="s">
        <v>737</v>
      </c>
      <c r="F3" s="286" t="s">
        <v>867</v>
      </c>
      <c r="G3" s="287"/>
      <c r="K3" s="13"/>
      <c r="M3" s="3"/>
      <c r="N3" s="1"/>
      <c r="R3" s="12"/>
      <c r="S3">
        <v>1</v>
      </c>
    </row>
    <row r="4" spans="1:19" ht="15" thickBot="1" x14ac:dyDescent="0.35">
      <c r="A4" s="257" t="s">
        <v>738</v>
      </c>
      <c r="B4" s="284"/>
      <c r="C4" s="285"/>
      <c r="D4" s="288" t="s">
        <v>739</v>
      </c>
      <c r="E4" s="289"/>
      <c r="F4" s="26">
        <f>SUM(G10:G9966)</f>
        <v>9</v>
      </c>
      <c r="G4" s="248" t="str">
        <f>"m2=&gt;"&amp;ROUND(SUM(J10:J199),2)</f>
        <v>m2=&gt;0,02</v>
      </c>
      <c r="K4" s="13"/>
      <c r="M4" s="2"/>
      <c r="N4" s="1"/>
      <c r="R4" s="3"/>
      <c r="S4">
        <v>13</v>
      </c>
    </row>
    <row r="5" spans="1:19" ht="15" thickBot="1" x14ac:dyDescent="0.35">
      <c r="A5" s="258" t="s">
        <v>740</v>
      </c>
      <c r="B5" s="225">
        <v>1</v>
      </c>
      <c r="C5" s="7"/>
      <c r="D5" s="19" t="s">
        <v>741</v>
      </c>
      <c r="E5" s="17"/>
      <c r="F5" s="219">
        <f>SUM(F10:F9965)</f>
        <v>290733.80160000001</v>
      </c>
      <c r="G5" s="234"/>
      <c r="K5" s="13"/>
      <c r="M5" s="2"/>
      <c r="N5" s="1"/>
      <c r="R5" s="3"/>
    </row>
    <row r="6" spans="1:19" ht="14.4" thickBot="1" x14ac:dyDescent="0.3">
      <c r="A6"/>
      <c r="B6" s="15"/>
      <c r="C6" s="31" t="s">
        <v>742</v>
      </c>
      <c r="D6" s="23" t="s">
        <v>743</v>
      </c>
      <c r="E6" s="224">
        <v>0.1</v>
      </c>
      <c r="F6" s="219">
        <f>-F5*E6</f>
        <v>-29073.380160000001</v>
      </c>
      <c r="G6" s="235"/>
      <c r="K6" s="13"/>
      <c r="M6" s="2"/>
      <c r="N6" s="1"/>
      <c r="R6" s="3"/>
    </row>
    <row r="7" spans="1:19" ht="14.4" thickBot="1" x14ac:dyDescent="0.3">
      <c r="A7"/>
      <c r="B7" s="15"/>
      <c r="C7" s="221" t="s">
        <v>744</v>
      </c>
      <c r="D7" s="23" t="s">
        <v>743</v>
      </c>
      <c r="E7" s="224"/>
      <c r="F7" s="219">
        <f>-(F5+F6)*E7</f>
        <v>0</v>
      </c>
      <c r="K7" s="13"/>
      <c r="M7" s="2"/>
      <c r="N7" s="1"/>
      <c r="R7" s="3"/>
    </row>
    <row r="8" spans="1:19" ht="14.4" thickBot="1" x14ac:dyDescent="0.3">
      <c r="A8" s="15"/>
      <c r="B8" s="15"/>
      <c r="C8" s="16"/>
      <c r="D8" s="27" t="s">
        <v>745</v>
      </c>
      <c r="E8" s="28"/>
      <c r="F8" s="220">
        <f>SUM(F5:F7)</f>
        <v>261660.42144000001</v>
      </c>
      <c r="G8" s="24"/>
      <c r="K8" s="13"/>
      <c r="M8" s="2"/>
      <c r="N8" s="1"/>
      <c r="R8" s="3"/>
    </row>
    <row r="9" spans="1:19" ht="27.6" thickTop="1" thickBot="1" x14ac:dyDescent="0.3">
      <c r="A9" s="259" t="s">
        <v>746</v>
      </c>
      <c r="B9" s="20" t="s">
        <v>747</v>
      </c>
      <c r="C9" s="20" t="s">
        <v>748</v>
      </c>
      <c r="D9" s="21" t="s">
        <v>749</v>
      </c>
      <c r="E9" s="20" t="s">
        <v>60</v>
      </c>
      <c r="F9" s="21" t="s">
        <v>750</v>
      </c>
      <c r="G9" s="29" t="s">
        <v>739</v>
      </c>
    </row>
    <row r="10" spans="1:19" ht="18" x14ac:dyDescent="0.35">
      <c r="A10" s="266">
        <v>12310</v>
      </c>
      <c r="B10" s="263">
        <v>2</v>
      </c>
      <c r="C10" s="233" t="str">
        <f>IFERROR(IF(A10&gt;0,VLOOKUP(A10,frente!A$3:E$10001,2,FALSE),"  "),"")</f>
        <v>Guisera 26cm. Con Tapa de Vidrio</v>
      </c>
      <c r="D10" s="218">
        <f>IFERROR(IF(A10&gt;0,VLOOKUP(A10,frente!A$3:F$10001,3,FALSE),"  "),"")</f>
        <v>46698.343999999997</v>
      </c>
      <c r="E10" s="22">
        <f>IFERROR(IF(A10&gt;0,VLOOKUP(A10,frente!A$3:F$10001,4,FALSE),"  "),"")</f>
        <v>1</v>
      </c>
      <c r="F10" s="218">
        <f t="shared" ref="F10:F41" si="0">IFERROR(IF(A10&gt;0,B10*D10," "),"")</f>
        <v>93396.687999999995</v>
      </c>
      <c r="G10" s="22">
        <f t="shared" ref="G10:G41" si="1">IFERROR(IF(A10&gt;0,B10/E10," "),"")</f>
        <v>2</v>
      </c>
      <c r="J10" s="247" t="str">
        <f>IFERROR(IF(A10&gt;0,VLOOKUP(A10,[1]frente!A$3:E$10000,5,FALSE)*B10,"  "),"")</f>
        <v/>
      </c>
    </row>
    <row r="11" spans="1:19" ht="18" x14ac:dyDescent="0.35">
      <c r="A11" s="267">
        <v>793</v>
      </c>
      <c r="B11" s="263">
        <v>12</v>
      </c>
      <c r="C11" s="233" t="str">
        <f>IFERROR(IF(A11&gt;0,VLOOKUP(A11,[1]frente!A$3:E$10000,2,FALSE),"  "),"")</f>
        <v>Jarra Exprimidor 1,00 lts.</v>
      </c>
      <c r="D11" s="218">
        <f>IFERROR(IF(A11&gt;0,VLOOKUP(A11,[1]frente!A$3:F$10000,3,FALSE),"  "),"")</f>
        <v>3164.7483999999999</v>
      </c>
      <c r="E11" s="22">
        <f>IFERROR(IF(A11&gt;0,VLOOKUP(A11,[1]frente!A$3:F$10000,4,FALSE),"  "),"")</f>
        <v>12</v>
      </c>
      <c r="F11" s="218">
        <f t="shared" si="0"/>
        <v>37976.980799999998</v>
      </c>
      <c r="G11" s="22">
        <f t="shared" si="1"/>
        <v>1</v>
      </c>
      <c r="J11" s="247">
        <f>IFERROR(IF(A11&gt;0,VLOOKUP(A11,[1]frente!A$3:E$10000,5,FALSE)*B11,"  "),"")</f>
        <v>2.4320244000000001E-2</v>
      </c>
    </row>
    <row r="12" spans="1:19" ht="18" x14ac:dyDescent="0.35">
      <c r="A12" s="267">
        <v>12819</v>
      </c>
      <c r="B12" s="263">
        <v>2</v>
      </c>
      <c r="C12" s="233" t="str">
        <f>IFERROR(IF(A12&gt;0,VLOOKUP(A12,[1]frente!A$3:E$10000,2,FALSE),"  "),"")</f>
        <v>Sartenes 20cm.</v>
      </c>
      <c r="D12" s="218">
        <f>IFERROR(IF(A12&gt;0,VLOOKUP(A12,[1]frente!A$3:F$10000,3,FALSE),"  "),"")</f>
        <v>22519.340800000002</v>
      </c>
      <c r="E12" s="22">
        <f>IFERROR(IF(A12&gt;0,VLOOKUP(A12,[1]frente!A$3:F$10000,4,FALSE),"  "),"")</f>
        <v>1</v>
      </c>
      <c r="F12" s="218">
        <f t="shared" si="0"/>
        <v>45038.681600000004</v>
      </c>
      <c r="G12" s="22">
        <f t="shared" si="1"/>
        <v>2</v>
      </c>
      <c r="J12" s="247" t="str">
        <f>IFERROR(IF(A12&gt;0,VLOOKUP(A12,[1]frente!A$3:E$10000,5,FALSE)*B12,"  "),"")</f>
        <v/>
      </c>
    </row>
    <row r="13" spans="1:19" ht="18" x14ac:dyDescent="0.35">
      <c r="A13" s="267">
        <v>12820</v>
      </c>
      <c r="B13" s="263">
        <v>2</v>
      </c>
      <c r="C13" s="233" t="str">
        <f>IFERROR(IF(A13&gt;0,VLOOKUP(A13,[1]frente!A$3:E$10000,2,FALSE),"  "),"")</f>
        <v>Sartenes 22cm.</v>
      </c>
      <c r="D13" s="218">
        <f>IFERROR(IF(A13&gt;0,VLOOKUP(A13,[1]frente!A$3:F$10000,3,FALSE),"  "),"")</f>
        <v>23397.985600000004</v>
      </c>
      <c r="E13" s="22">
        <f>IFERROR(IF(A13&gt;0,VLOOKUP(A13,[1]frente!A$3:F$10000,4,FALSE),"  "),"")</f>
        <v>1</v>
      </c>
      <c r="F13" s="218">
        <f t="shared" si="0"/>
        <v>46795.971200000007</v>
      </c>
      <c r="G13" s="22">
        <f t="shared" si="1"/>
        <v>2</v>
      </c>
      <c r="J13" s="247" t="str">
        <f>IFERROR(IF(A13&gt;0,VLOOKUP(A13,[1]frente!A$3:E$10000,5,FALSE)*B13,"  "),"")</f>
        <v/>
      </c>
    </row>
    <row r="14" spans="1:19" ht="18" x14ac:dyDescent="0.35">
      <c r="A14" s="267">
        <v>12823</v>
      </c>
      <c r="B14" s="263">
        <v>2</v>
      </c>
      <c r="C14" s="233" t="str">
        <f>IFERROR(IF(A14&gt;0,VLOOKUP(A14,[1]frente!A$3:E$10000,2,FALSE),"  "),"")</f>
        <v xml:space="preserve">Sartenes 28cm. </v>
      </c>
      <c r="D14" s="218">
        <f>IFERROR(IF(A14&gt;0,VLOOKUP(A14,[1]frente!A$3:F$10000,3,FALSE),"  "),"")</f>
        <v>33762.74</v>
      </c>
      <c r="E14" s="22">
        <f>IFERROR(IF(A14&gt;0,VLOOKUP(A14,[1]frente!A$3:F$10000,4,FALSE),"  "),"")</f>
        <v>1</v>
      </c>
      <c r="F14" s="218">
        <f t="shared" si="0"/>
        <v>67525.48</v>
      </c>
      <c r="G14" s="22">
        <f t="shared" si="1"/>
        <v>2</v>
      </c>
      <c r="J14" s="247" t="str">
        <f>IFERROR(IF(A14&gt;0,VLOOKUP(A14,[1]frente!A$3:E$10000,5,FALSE)*B14,"  "),"")</f>
        <v/>
      </c>
    </row>
    <row r="15" spans="1:19" ht="18" x14ac:dyDescent="0.35">
      <c r="A15" s="267"/>
      <c r="B15" s="263"/>
      <c r="C15" s="233" t="str">
        <f>IFERROR(IF(A15&gt;0,VLOOKUP(A15,[1]frente!A$3:E$10000,2,FALSE),"  "),"")</f>
        <v xml:space="preserve">  </v>
      </c>
      <c r="D15" s="218" t="str">
        <f>IFERROR(IF(A15&gt;0,VLOOKUP(A15,[1]frente!A$3:F$10000,3,FALSE),"  "),"")</f>
        <v xml:space="preserve">  </v>
      </c>
      <c r="E15" s="22" t="str">
        <f>IFERROR(IF(A15&gt;0,VLOOKUP(A15,[1]frente!A$3:F$10000,4,FALSE),"  "),"")</f>
        <v xml:space="preserve">  </v>
      </c>
      <c r="F15" s="218" t="str">
        <f t="shared" si="0"/>
        <v xml:space="preserve"> </v>
      </c>
      <c r="G15" s="22" t="str">
        <f t="shared" si="1"/>
        <v xml:space="preserve"> </v>
      </c>
      <c r="J15" s="247" t="str">
        <f>IFERROR(IF(A15&gt;0,VLOOKUP(A15,[1]frente!A$3:E$10000,5,FALSE)*B15,"  "),"")</f>
        <v xml:space="preserve">  </v>
      </c>
    </row>
    <row r="16" spans="1:19" ht="18" x14ac:dyDescent="0.35">
      <c r="A16" s="267"/>
      <c r="B16" s="263"/>
      <c r="C16" s="233" t="str">
        <f>IFERROR(IF(A16&gt;0,VLOOKUP(A16,[1]frente!A$3:E$10000,2,FALSE),"  "),"")</f>
        <v xml:space="preserve">  </v>
      </c>
      <c r="D16" s="218" t="str">
        <f>IFERROR(IF(A16&gt;0,VLOOKUP(A16,[1]frente!A$3:F$10000,3,FALSE),"  "),"")</f>
        <v xml:space="preserve">  </v>
      </c>
      <c r="E16" s="22" t="str">
        <f>IFERROR(IF(A16&gt;0,VLOOKUP(A16,[1]frente!A$3:F$10000,4,FALSE),"  "),"")</f>
        <v xml:space="preserve">  </v>
      </c>
      <c r="F16" s="218" t="str">
        <f t="shared" si="0"/>
        <v xml:space="preserve"> </v>
      </c>
      <c r="G16" s="22" t="str">
        <f t="shared" si="1"/>
        <v xml:space="preserve"> </v>
      </c>
      <c r="J16" s="247" t="str">
        <f>IFERROR(IF(A16&gt;0,VLOOKUP(A16,[1]frente!A$3:E$10000,5,FALSE)*B16,"  "),"")</f>
        <v xml:space="preserve">  </v>
      </c>
    </row>
    <row r="17" spans="1:10" ht="18" x14ac:dyDescent="0.35">
      <c r="A17" s="267"/>
      <c r="B17" s="263"/>
      <c r="C17" s="233" t="str">
        <f>IFERROR(IF(A17&gt;0,VLOOKUP(A17,[1]frente!A$3:E$10000,2,FALSE),"  "),"")</f>
        <v xml:space="preserve">  </v>
      </c>
      <c r="D17" s="218" t="str">
        <f>IFERROR(IF(A17&gt;0,VLOOKUP(A17,[1]frente!A$3:F$10000,3,FALSE),"  "),"")</f>
        <v xml:space="preserve">  </v>
      </c>
      <c r="E17" s="22" t="str">
        <f>IFERROR(IF(A17&gt;0,VLOOKUP(A17,[1]frente!A$3:F$10000,4,FALSE),"  "),"")</f>
        <v xml:space="preserve">  </v>
      </c>
      <c r="F17" s="218" t="str">
        <f t="shared" si="0"/>
        <v xml:space="preserve"> </v>
      </c>
      <c r="G17" s="22" t="str">
        <f t="shared" si="1"/>
        <v xml:space="preserve"> </v>
      </c>
      <c r="J17" s="247" t="str">
        <f>IFERROR(IF(A17&gt;0,VLOOKUP(A17,[1]frente!A$3:E$10000,5,FALSE)*B17,"  "),"")</f>
        <v xml:space="preserve">  </v>
      </c>
    </row>
    <row r="18" spans="1:10" ht="18" x14ac:dyDescent="0.35">
      <c r="A18" s="267"/>
      <c r="B18" s="263"/>
      <c r="C18" s="233" t="str">
        <f>IFERROR(IF(A18&gt;0,VLOOKUP(A18,[1]frente!A$3:E$10000,2,FALSE),"  "),"")</f>
        <v xml:space="preserve">  </v>
      </c>
      <c r="D18" s="218" t="str">
        <f>IFERROR(IF(A18&gt;0,VLOOKUP(A18,[1]frente!A$3:F$10000,3,FALSE),"  "),"")</f>
        <v xml:space="preserve">  </v>
      </c>
      <c r="E18" s="22" t="str">
        <f>IFERROR(IF(A18&gt;0,VLOOKUP(A18,[1]frente!A$3:F$10000,4,FALSE),"  "),"")</f>
        <v xml:space="preserve">  </v>
      </c>
      <c r="F18" s="218" t="str">
        <f t="shared" si="0"/>
        <v xml:space="preserve"> </v>
      </c>
      <c r="G18" s="22" t="str">
        <f t="shared" si="1"/>
        <v xml:space="preserve"> </v>
      </c>
      <c r="J18" s="247" t="str">
        <f>IFERROR(IF(A18&gt;0,VLOOKUP(A18,[1]frente!A$3:E$10000,5,FALSE)*B18,"  "),"")</f>
        <v xml:space="preserve">  </v>
      </c>
    </row>
    <row r="19" spans="1:10" ht="18" x14ac:dyDescent="0.35">
      <c r="A19" s="267"/>
      <c r="B19" s="263"/>
      <c r="C19" s="233" t="str">
        <f>IFERROR(IF(A19&gt;0,VLOOKUP(A19,[1]frente!A$3:E$10000,2,FALSE),"  "),"")</f>
        <v xml:space="preserve">  </v>
      </c>
      <c r="D19" s="218" t="str">
        <f>IFERROR(IF(A19&gt;0,VLOOKUP(A19,[1]frente!A$3:F$10000,3,FALSE),"  "),"")</f>
        <v xml:space="preserve">  </v>
      </c>
      <c r="E19" s="22" t="str">
        <f>IFERROR(IF(A19&gt;0,VLOOKUP(A19,[1]frente!A$3:F$10000,4,FALSE),"  "),"")</f>
        <v xml:space="preserve">  </v>
      </c>
      <c r="F19" s="218" t="str">
        <f t="shared" si="0"/>
        <v xml:space="preserve"> </v>
      </c>
      <c r="G19" s="22" t="str">
        <f t="shared" si="1"/>
        <v xml:space="preserve"> </v>
      </c>
      <c r="J19" s="247" t="str">
        <f>IFERROR(IF(A19&gt;0,VLOOKUP(A19,[1]frente!A$3:E$10000,5,FALSE)*B19,"  "),"")</f>
        <v xml:space="preserve">  </v>
      </c>
    </row>
    <row r="20" spans="1:10" ht="18" x14ac:dyDescent="0.35">
      <c r="A20" s="267"/>
      <c r="B20" s="263"/>
      <c r="C20" s="233" t="str">
        <f>IFERROR(IF(A20&gt;0,VLOOKUP(A20,[1]frente!A$3:E$10000,2,FALSE),"  "),"")</f>
        <v xml:space="preserve">  </v>
      </c>
      <c r="D20" s="218" t="str">
        <f>IFERROR(IF(A20&gt;0,VLOOKUP(A20,[1]frente!A$3:F$10000,3,FALSE),"  "),"")</f>
        <v xml:space="preserve">  </v>
      </c>
      <c r="E20" s="22" t="str">
        <f>IFERROR(IF(A20&gt;0,VLOOKUP(A20,[1]frente!A$3:F$10000,4,FALSE),"  "),"")</f>
        <v xml:space="preserve">  </v>
      </c>
      <c r="F20" s="218" t="str">
        <f t="shared" si="0"/>
        <v xml:space="preserve"> </v>
      </c>
      <c r="G20" s="22" t="str">
        <f t="shared" si="1"/>
        <v xml:space="preserve"> </v>
      </c>
      <c r="J20" s="247" t="str">
        <f>IFERROR(IF(A20&gt;0,VLOOKUP(A20,[1]frente!A$3:E$10000,5,FALSE)*B20,"  "),"")</f>
        <v xml:space="preserve">  </v>
      </c>
    </row>
    <row r="21" spans="1:10" ht="18" x14ac:dyDescent="0.35">
      <c r="A21" s="267"/>
      <c r="B21" s="263"/>
      <c r="C21" s="233" t="str">
        <f>IFERROR(IF(A21&gt;0,VLOOKUP(A21,[1]frente!A$3:E$10000,2,FALSE),"  "),"")</f>
        <v xml:space="preserve">  </v>
      </c>
      <c r="D21" s="218" t="str">
        <f>IFERROR(IF(A21&gt;0,VLOOKUP(A21,[1]frente!A$3:F$10000,3,FALSE),"  "),"")</f>
        <v xml:space="preserve">  </v>
      </c>
      <c r="E21" s="22" t="str">
        <f>IFERROR(IF(A21&gt;0,VLOOKUP(A21,[1]frente!A$3:F$10000,4,FALSE),"  "),"")</f>
        <v xml:space="preserve">  </v>
      </c>
      <c r="F21" s="218" t="str">
        <f t="shared" si="0"/>
        <v xml:space="preserve"> </v>
      </c>
      <c r="G21" s="22" t="str">
        <f t="shared" si="1"/>
        <v xml:space="preserve"> </v>
      </c>
      <c r="J21" s="247" t="str">
        <f>IFERROR(IF(A21&gt;0,VLOOKUP(A21,[1]frente!A$3:E$10000,5,FALSE)*B21,"  "),"")</f>
        <v xml:space="preserve">  </v>
      </c>
    </row>
    <row r="22" spans="1:10" ht="18" x14ac:dyDescent="0.35">
      <c r="A22" s="267"/>
      <c r="B22" s="263"/>
      <c r="C22" s="233" t="str">
        <f>IFERROR(IF(A22&gt;0,VLOOKUP(A22,[1]frente!A$3:E$10000,2,FALSE),"  "),"")</f>
        <v xml:space="preserve">  </v>
      </c>
      <c r="D22" s="218" t="str">
        <f>IFERROR(IF(A22&gt;0,VLOOKUP(A22,[1]frente!A$3:F$10000,3,FALSE),"  "),"")</f>
        <v xml:space="preserve">  </v>
      </c>
      <c r="E22" s="22" t="str">
        <f>IFERROR(IF(A22&gt;0,VLOOKUP(A22,[1]frente!A$3:F$10000,4,FALSE),"  "),"")</f>
        <v xml:space="preserve">  </v>
      </c>
      <c r="F22" s="218" t="str">
        <f t="shared" si="0"/>
        <v xml:space="preserve"> </v>
      </c>
      <c r="G22" s="22" t="str">
        <f t="shared" si="1"/>
        <v xml:space="preserve"> </v>
      </c>
      <c r="J22" s="247" t="str">
        <f>IFERROR(IF(A22&gt;0,VLOOKUP(A22,[1]frente!A$3:E$10000,5,FALSE)*B22,"  "),"")</f>
        <v xml:space="preserve">  </v>
      </c>
    </row>
    <row r="23" spans="1:10" ht="18" x14ac:dyDescent="0.35">
      <c r="A23" s="267"/>
      <c r="B23" s="263"/>
      <c r="C23" s="233" t="str">
        <f>IFERROR(IF(A23&gt;0,VLOOKUP(A23,[1]frente!A$3:E$10000,2,FALSE),"  "),"")</f>
        <v xml:space="preserve">  </v>
      </c>
      <c r="D23" s="218" t="str">
        <f>IFERROR(IF(A23&gt;0,VLOOKUP(A23,[1]frente!A$3:F$10000,3,FALSE),"  "),"")</f>
        <v xml:space="preserve">  </v>
      </c>
      <c r="E23" s="22" t="str">
        <f>IFERROR(IF(A23&gt;0,VLOOKUP(A23,[1]frente!A$3:F$10000,4,FALSE),"  "),"")</f>
        <v xml:space="preserve">  </v>
      </c>
      <c r="F23" s="218" t="str">
        <f t="shared" si="0"/>
        <v xml:space="preserve"> </v>
      </c>
      <c r="G23" s="22" t="str">
        <f t="shared" si="1"/>
        <v xml:space="preserve"> </v>
      </c>
      <c r="J23" s="247" t="str">
        <f>IFERROR(IF(A23&gt;0,VLOOKUP(A23,[1]frente!A$3:E$10000,5,FALSE)*B23,"  "),"")</f>
        <v xml:space="preserve">  </v>
      </c>
    </row>
    <row r="24" spans="1:10" ht="18" x14ac:dyDescent="0.35">
      <c r="A24" s="267"/>
      <c r="B24" s="263"/>
      <c r="C24" s="233" t="str">
        <f>IFERROR(IF(A24&gt;0,VLOOKUP(A24,[1]frente!A$3:E$10000,2,FALSE),"  "),"")</f>
        <v xml:space="preserve">  </v>
      </c>
      <c r="D24" s="218" t="str">
        <f>IFERROR(IF(A24&gt;0,VLOOKUP(A24,[1]frente!A$3:F$10000,3,FALSE),"  "),"")</f>
        <v xml:space="preserve">  </v>
      </c>
      <c r="E24" s="22" t="str">
        <f>IFERROR(IF(A24&gt;0,VLOOKUP(A24,[1]frente!A$3:F$10000,4,FALSE),"  "),"")</f>
        <v xml:space="preserve">  </v>
      </c>
      <c r="F24" s="218" t="str">
        <f t="shared" si="0"/>
        <v xml:space="preserve"> </v>
      </c>
      <c r="G24" s="22" t="str">
        <f t="shared" si="1"/>
        <v xml:space="preserve"> </v>
      </c>
      <c r="J24" s="247" t="str">
        <f>IFERROR(IF(A24&gt;0,VLOOKUP(A24,[1]frente!A$3:E$10000,5,FALSE)*B24,"  "),"")</f>
        <v xml:space="preserve">  </v>
      </c>
    </row>
    <row r="25" spans="1:10" ht="18" x14ac:dyDescent="0.35">
      <c r="A25" s="267"/>
      <c r="B25" s="263"/>
      <c r="C25" s="233" t="str">
        <f>IFERROR(IF(A25&gt;0,VLOOKUP(A25,[1]frente!A$3:E$10000,2,FALSE),"  "),"")</f>
        <v xml:space="preserve">  </v>
      </c>
      <c r="D25" s="218" t="str">
        <f>IFERROR(IF(A25&gt;0,VLOOKUP(A25,[1]frente!A$3:F$10000,3,FALSE),"  "),"")</f>
        <v xml:space="preserve">  </v>
      </c>
      <c r="E25" s="22" t="str">
        <f>IFERROR(IF(A25&gt;0,VLOOKUP(A25,[1]frente!A$3:F$10000,4,FALSE),"  "),"")</f>
        <v xml:space="preserve">  </v>
      </c>
      <c r="F25" s="218" t="str">
        <f t="shared" si="0"/>
        <v xml:space="preserve"> </v>
      </c>
      <c r="G25" s="22" t="str">
        <f t="shared" si="1"/>
        <v xml:space="preserve"> </v>
      </c>
      <c r="J25" s="247" t="str">
        <f>IFERROR(IF(A25&gt;0,VLOOKUP(A25,[1]frente!A$3:E$10000,5,FALSE)*B25,"  "),"")</f>
        <v xml:space="preserve">  </v>
      </c>
    </row>
    <row r="26" spans="1:10" ht="18" x14ac:dyDescent="0.35">
      <c r="A26" s="267"/>
      <c r="B26" s="263"/>
      <c r="C26" s="233" t="str">
        <f>IFERROR(IF(A26&gt;0,VLOOKUP(A26,[1]frente!A$3:E$10000,2,FALSE),"  "),"")</f>
        <v xml:space="preserve">  </v>
      </c>
      <c r="D26" s="218" t="str">
        <f>IFERROR(IF(A26&gt;0,VLOOKUP(A26,[1]frente!A$3:F$10000,3,FALSE),"  "),"")</f>
        <v xml:space="preserve">  </v>
      </c>
      <c r="E26" s="22" t="str">
        <f>IFERROR(IF(A26&gt;0,VLOOKUP(A26,[1]frente!A$3:F$10000,4,FALSE),"  "),"")</f>
        <v xml:space="preserve">  </v>
      </c>
      <c r="F26" s="218" t="str">
        <f t="shared" si="0"/>
        <v xml:space="preserve"> </v>
      </c>
      <c r="G26" s="22" t="str">
        <f t="shared" si="1"/>
        <v xml:space="preserve"> </v>
      </c>
      <c r="J26" s="247" t="str">
        <f>IFERROR(IF(A26&gt;0,VLOOKUP(A26,[1]frente!A$3:E$10000,5,FALSE)*B26,"  "),"")</f>
        <v xml:space="preserve">  </v>
      </c>
    </row>
    <row r="27" spans="1:10" ht="18" x14ac:dyDescent="0.35">
      <c r="A27" s="267"/>
      <c r="B27" s="263"/>
      <c r="C27" s="233" t="str">
        <f>IFERROR(IF(A27&gt;0,VLOOKUP(A27,[1]frente!A$3:E$10000,2,FALSE),"  "),"")</f>
        <v xml:space="preserve">  </v>
      </c>
      <c r="D27" s="218" t="str">
        <f>IFERROR(IF(A27&gt;0,VLOOKUP(A27,[1]frente!A$3:F$10000,3,FALSE),"  "),"")</f>
        <v xml:space="preserve">  </v>
      </c>
      <c r="E27" s="22" t="str">
        <f>IFERROR(IF(A27&gt;0,VLOOKUP(A27,[1]frente!A$3:F$10000,4,FALSE),"  "),"")</f>
        <v xml:space="preserve">  </v>
      </c>
      <c r="F27" s="218" t="str">
        <f t="shared" si="0"/>
        <v xml:space="preserve"> </v>
      </c>
      <c r="G27" s="22" t="str">
        <f t="shared" si="1"/>
        <v xml:space="preserve"> </v>
      </c>
      <c r="J27" s="247" t="str">
        <f>IFERROR(IF(A27&gt;0,VLOOKUP(A27,[1]frente!A$3:E$10000,5,FALSE)*B27,"  "),"")</f>
        <v xml:space="preserve">  </v>
      </c>
    </row>
    <row r="28" spans="1:10" ht="18" x14ac:dyDescent="0.35">
      <c r="A28" s="267"/>
      <c r="B28" s="263"/>
      <c r="C28" s="233" t="str">
        <f>IFERROR(IF(A28&gt;0,VLOOKUP(A28,[1]frente!A$3:E$10000,2,FALSE),"  "),"")</f>
        <v xml:space="preserve">  </v>
      </c>
      <c r="D28" s="218" t="str">
        <f>IFERROR(IF(A28&gt;0,VLOOKUP(A28,[1]frente!A$3:F$10000,3,FALSE),"  "),"")</f>
        <v xml:space="preserve">  </v>
      </c>
      <c r="E28" s="22" t="str">
        <f>IFERROR(IF(A28&gt;0,VLOOKUP(A28,[1]frente!A$3:F$10000,4,FALSE),"  "),"")</f>
        <v xml:space="preserve">  </v>
      </c>
      <c r="F28" s="218" t="str">
        <f t="shared" si="0"/>
        <v xml:space="preserve"> </v>
      </c>
      <c r="G28" s="22" t="str">
        <f t="shared" si="1"/>
        <v xml:space="preserve"> </v>
      </c>
      <c r="J28" s="247" t="str">
        <f>IFERROR(IF(A28&gt;0,VLOOKUP(A28,[1]frente!A$3:E$10000,5,FALSE)*B28,"  "),"")</f>
        <v xml:space="preserve">  </v>
      </c>
    </row>
    <row r="29" spans="1:10" ht="18" x14ac:dyDescent="0.35">
      <c r="A29" s="267"/>
      <c r="B29" s="263"/>
      <c r="C29" s="233" t="str">
        <f>IFERROR(IF(A29&gt;0,VLOOKUP(A29,[1]frente!A$3:E$10000,2,FALSE),"  "),"")</f>
        <v xml:space="preserve">  </v>
      </c>
      <c r="D29" s="218" t="str">
        <f>IFERROR(IF(A29&gt;0,VLOOKUP(A29,[1]frente!A$3:F$10000,3,FALSE),"  "),"")</f>
        <v xml:space="preserve">  </v>
      </c>
      <c r="E29" s="22" t="str">
        <f>IFERROR(IF(A29&gt;0,VLOOKUP(A29,[1]frente!A$3:F$10000,4,FALSE),"  "),"")</f>
        <v xml:space="preserve">  </v>
      </c>
      <c r="F29" s="218" t="str">
        <f t="shared" si="0"/>
        <v xml:space="preserve"> </v>
      </c>
      <c r="G29" s="22" t="str">
        <f t="shared" si="1"/>
        <v xml:space="preserve"> </v>
      </c>
      <c r="J29" s="247" t="str">
        <f>IFERROR(IF(A29&gt;0,VLOOKUP(A29,[1]frente!A$3:E$10000,5,FALSE)*B29,"  "),"")</f>
        <v xml:space="preserve">  </v>
      </c>
    </row>
    <row r="30" spans="1:10" ht="18" x14ac:dyDescent="0.35">
      <c r="A30" s="267"/>
      <c r="B30" s="263"/>
      <c r="C30" s="233" t="str">
        <f>IFERROR(IF(A30&gt;0,VLOOKUP(A30,[1]frente!A$3:E$10000,2,FALSE),"  "),"")</f>
        <v xml:space="preserve">  </v>
      </c>
      <c r="D30" s="218" t="str">
        <f>IFERROR(IF(A30&gt;0,VLOOKUP(A30,[1]frente!A$3:F$10000,3,FALSE),"  "),"")</f>
        <v xml:space="preserve">  </v>
      </c>
      <c r="E30" s="22" t="str">
        <f>IFERROR(IF(A30&gt;0,VLOOKUP(A30,[1]frente!A$3:F$10000,4,FALSE),"  "),"")</f>
        <v xml:space="preserve">  </v>
      </c>
      <c r="F30" s="218" t="str">
        <f t="shared" si="0"/>
        <v xml:space="preserve"> </v>
      </c>
      <c r="G30" s="22" t="str">
        <f t="shared" si="1"/>
        <v xml:space="preserve"> </v>
      </c>
      <c r="J30" s="247" t="str">
        <f>IFERROR(IF(A30&gt;0,VLOOKUP(A30,[1]frente!A$3:E$10000,5,FALSE)*B30,"  "),"")</f>
        <v xml:space="preserve">  </v>
      </c>
    </row>
    <row r="31" spans="1:10" ht="18" x14ac:dyDescent="0.35">
      <c r="A31" s="267"/>
      <c r="B31" s="263"/>
      <c r="C31" s="233" t="str">
        <f>IFERROR(IF(A31&gt;0,VLOOKUP(A31,[1]frente!A$3:E$10000,2,FALSE),"  "),"")</f>
        <v xml:space="preserve">  </v>
      </c>
      <c r="D31" s="218" t="str">
        <f>IFERROR(IF(A31&gt;0,VLOOKUP(A31,[1]frente!A$3:F$10000,3,FALSE),"  "),"")</f>
        <v xml:space="preserve">  </v>
      </c>
      <c r="E31" s="22" t="str">
        <f>IFERROR(IF(A31&gt;0,VLOOKUP(A31,[1]frente!A$3:F$10000,4,FALSE),"  "),"")</f>
        <v xml:space="preserve">  </v>
      </c>
      <c r="F31" s="218" t="str">
        <f t="shared" si="0"/>
        <v xml:space="preserve"> </v>
      </c>
      <c r="G31" s="22" t="str">
        <f t="shared" si="1"/>
        <v xml:space="preserve"> </v>
      </c>
      <c r="J31" s="247" t="str">
        <f>IFERROR(IF(A31&gt;0,VLOOKUP(A31,[1]frente!A$3:E$10000,5,FALSE)*B31,"  "),"")</f>
        <v xml:space="preserve">  </v>
      </c>
    </row>
    <row r="32" spans="1:10" ht="18" x14ac:dyDescent="0.35">
      <c r="A32" s="267"/>
      <c r="B32" s="263"/>
      <c r="C32" s="233" t="str">
        <f>IFERROR(IF(A32&gt;0,VLOOKUP(A32,[1]frente!A$3:E$10000,2,FALSE),"  "),"")</f>
        <v xml:space="preserve">  </v>
      </c>
      <c r="D32" s="218" t="str">
        <f>IFERROR(IF(A32&gt;0,VLOOKUP(A32,[1]frente!A$3:F$10000,3,FALSE),"  "),"")</f>
        <v xml:space="preserve">  </v>
      </c>
      <c r="E32" s="22" t="str">
        <f>IFERROR(IF(A32&gt;0,VLOOKUP(A32,[1]frente!A$3:F$10000,4,FALSE),"  "),"")</f>
        <v xml:space="preserve">  </v>
      </c>
      <c r="F32" s="218" t="str">
        <f t="shared" si="0"/>
        <v xml:space="preserve"> </v>
      </c>
      <c r="G32" s="22" t="str">
        <f t="shared" si="1"/>
        <v xml:space="preserve"> </v>
      </c>
      <c r="J32" s="247" t="str">
        <f>IFERROR(IF(A32&gt;0,VLOOKUP(A32,[1]frente!A$3:E$10000,5,FALSE)*B32,"  "),"")</f>
        <v xml:space="preserve">  </v>
      </c>
    </row>
    <row r="33" spans="1:10" ht="18" x14ac:dyDescent="0.35">
      <c r="A33" s="267"/>
      <c r="B33" s="263"/>
      <c r="C33" s="233" t="str">
        <f>IFERROR(IF(A33&gt;0,VLOOKUP(A33,[1]frente!A$3:E$10000,2,FALSE),"  "),"")</f>
        <v xml:space="preserve">  </v>
      </c>
      <c r="D33" s="218" t="str">
        <f>IFERROR(IF(A33&gt;0,VLOOKUP(A33,[1]frente!A$3:F$10000,3,FALSE),"  "),"")</f>
        <v xml:space="preserve">  </v>
      </c>
      <c r="E33" s="22" t="str">
        <f>IFERROR(IF(A33&gt;0,VLOOKUP(A33,[1]frente!A$3:F$10000,4,FALSE),"  "),"")</f>
        <v xml:space="preserve">  </v>
      </c>
      <c r="F33" s="218" t="str">
        <f t="shared" si="0"/>
        <v xml:space="preserve"> </v>
      </c>
      <c r="G33" s="22" t="str">
        <f t="shared" si="1"/>
        <v xml:space="preserve"> </v>
      </c>
      <c r="J33" s="247" t="str">
        <f>IFERROR(IF(A33&gt;0,VLOOKUP(A33,[1]frente!A$3:E$10000,5,FALSE)*B33,"  "),"")</f>
        <v xml:space="preserve">  </v>
      </c>
    </row>
    <row r="34" spans="1:10" ht="18" x14ac:dyDescent="0.35">
      <c r="A34" s="267"/>
      <c r="B34" s="263"/>
      <c r="C34" s="233" t="str">
        <f>IFERROR(IF(A34&gt;0,VLOOKUP(A34,[1]frente!A$3:E$10000,2,FALSE),"  "),"")</f>
        <v xml:space="preserve">  </v>
      </c>
      <c r="D34" s="218" t="str">
        <f>IFERROR(IF(A34&gt;0,VLOOKUP(A34,[1]frente!A$3:F$10000,3,FALSE),"  "),"")</f>
        <v xml:space="preserve">  </v>
      </c>
      <c r="E34" s="22" t="str">
        <f>IFERROR(IF(A34&gt;0,VLOOKUP(A34,[1]frente!A$3:F$10000,4,FALSE),"  "),"")</f>
        <v xml:space="preserve">  </v>
      </c>
      <c r="F34" s="218" t="str">
        <f t="shared" si="0"/>
        <v xml:space="preserve"> </v>
      </c>
      <c r="G34" s="22" t="str">
        <f t="shared" si="1"/>
        <v xml:space="preserve"> </v>
      </c>
      <c r="J34" s="247" t="str">
        <f>IFERROR(IF(A34&gt;0,VLOOKUP(A34,[1]frente!A$3:E$10000,5,FALSE)*B34,"  "),"")</f>
        <v xml:space="preserve">  </v>
      </c>
    </row>
    <row r="35" spans="1:10" ht="18" x14ac:dyDescent="0.35">
      <c r="A35" s="267"/>
      <c r="B35" s="263"/>
      <c r="C35" s="233" t="str">
        <f>IFERROR(IF(A35&gt;0,VLOOKUP(A35,[1]frente!A$3:E$10000,2,FALSE),"  "),"")</f>
        <v xml:space="preserve">  </v>
      </c>
      <c r="D35" s="218" t="str">
        <f>IFERROR(IF(A35&gt;0,VLOOKUP(A35,[1]frente!A$3:F$10000,3,FALSE),"  "),"")</f>
        <v xml:space="preserve">  </v>
      </c>
      <c r="E35" s="22" t="str">
        <f>IFERROR(IF(A35&gt;0,VLOOKUP(A35,[1]frente!A$3:F$10000,4,FALSE),"  "),"")</f>
        <v xml:space="preserve">  </v>
      </c>
      <c r="F35" s="218" t="str">
        <f t="shared" si="0"/>
        <v xml:space="preserve"> </v>
      </c>
      <c r="G35" s="22" t="str">
        <f t="shared" si="1"/>
        <v xml:space="preserve"> </v>
      </c>
      <c r="J35" s="247" t="str">
        <f>IFERROR(IF(A35&gt;0,VLOOKUP(A35,[1]frente!A$3:E$10000,5,FALSE)*B35,"  "),"")</f>
        <v xml:space="preserve">  </v>
      </c>
    </row>
    <row r="36" spans="1:10" ht="18" x14ac:dyDescent="0.35">
      <c r="A36" s="267"/>
      <c r="B36" s="263"/>
      <c r="C36" s="233" t="str">
        <f>IFERROR(IF(A36&gt;0,VLOOKUP(A36,[1]frente!A$3:E$10000,2,FALSE),"  "),"")</f>
        <v xml:space="preserve">  </v>
      </c>
      <c r="D36" s="218" t="str">
        <f>IFERROR(IF(A36&gt;0,VLOOKUP(A36,[1]frente!A$3:F$10000,3,FALSE),"  "),"")</f>
        <v xml:space="preserve">  </v>
      </c>
      <c r="E36" s="22" t="str">
        <f>IFERROR(IF(A36&gt;0,VLOOKUP(A36,[1]frente!A$3:F$10000,4,FALSE),"  "),"")</f>
        <v xml:space="preserve">  </v>
      </c>
      <c r="F36" s="218" t="str">
        <f t="shared" si="0"/>
        <v xml:space="preserve"> </v>
      </c>
      <c r="G36" s="22" t="str">
        <f t="shared" si="1"/>
        <v xml:space="preserve"> </v>
      </c>
      <c r="J36" s="247" t="str">
        <f>IFERROR(IF(A36&gt;0,VLOOKUP(A36,[1]frente!A$3:E$10000,5,FALSE)*B36,"  "),"")</f>
        <v xml:space="preserve">  </v>
      </c>
    </row>
    <row r="37" spans="1:10" ht="18" x14ac:dyDescent="0.35">
      <c r="A37" s="267"/>
      <c r="B37" s="263"/>
      <c r="C37" s="233" t="str">
        <f>IFERROR(IF(A37&gt;0,VLOOKUP(A37,[1]frente!A$3:E$10000,2,FALSE),"  "),"")</f>
        <v xml:space="preserve">  </v>
      </c>
      <c r="D37" s="218" t="str">
        <f>IFERROR(IF(A37&gt;0,VLOOKUP(A37,[1]frente!A$3:F$10000,3,FALSE),"  "),"")</f>
        <v xml:space="preserve">  </v>
      </c>
      <c r="E37" s="22" t="str">
        <f>IFERROR(IF(A37&gt;0,VLOOKUP(A37,[1]frente!A$3:F$10000,4,FALSE),"  "),"")</f>
        <v xml:space="preserve">  </v>
      </c>
      <c r="F37" s="218" t="str">
        <f t="shared" si="0"/>
        <v xml:space="preserve"> </v>
      </c>
      <c r="G37" s="22" t="str">
        <f t="shared" si="1"/>
        <v xml:space="preserve"> </v>
      </c>
      <c r="J37" s="247" t="str">
        <f>IFERROR(IF(A37&gt;0,VLOOKUP(A37,[1]frente!A$3:E$10000,5,FALSE)*B37,"  "),"")</f>
        <v xml:space="preserve">  </v>
      </c>
    </row>
    <row r="38" spans="1:10" ht="18" x14ac:dyDescent="0.35">
      <c r="A38" s="267"/>
      <c r="B38" s="263"/>
      <c r="C38" s="233" t="str">
        <f>IFERROR(IF(A38&gt;0,VLOOKUP(A38,[1]frente!A$3:E$10000,2,FALSE),"  "),"")</f>
        <v xml:space="preserve">  </v>
      </c>
      <c r="D38" s="218" t="str">
        <f>IFERROR(IF(A38&gt;0,VLOOKUP(A38,[1]frente!A$3:F$10000,3,FALSE),"  "),"")</f>
        <v xml:space="preserve">  </v>
      </c>
      <c r="E38" s="22" t="str">
        <f>IFERROR(IF(A38&gt;0,VLOOKUP(A38,[1]frente!A$3:F$10000,4,FALSE),"  "),"")</f>
        <v xml:space="preserve">  </v>
      </c>
      <c r="F38" s="218" t="str">
        <f t="shared" si="0"/>
        <v xml:space="preserve"> </v>
      </c>
      <c r="G38" s="22" t="str">
        <f t="shared" si="1"/>
        <v xml:space="preserve"> </v>
      </c>
      <c r="J38" s="247" t="str">
        <f>IFERROR(IF(A38&gt;0,VLOOKUP(A38,[1]frente!A$3:E$10000,5,FALSE)*B38,"  "),"")</f>
        <v xml:space="preserve">  </v>
      </c>
    </row>
    <row r="39" spans="1:10" ht="18" x14ac:dyDescent="0.35">
      <c r="A39" s="267"/>
      <c r="B39" s="263"/>
      <c r="C39" s="233" t="str">
        <f>IFERROR(IF(A39&gt;0,VLOOKUP(A39,[1]frente!A$3:E$10000,2,FALSE),"  "),"")</f>
        <v xml:space="preserve">  </v>
      </c>
      <c r="D39" s="218" t="str">
        <f>IFERROR(IF(A39&gt;0,VLOOKUP(A39,[1]frente!A$3:F$10000,3,FALSE),"  "),"")</f>
        <v xml:space="preserve">  </v>
      </c>
      <c r="E39" s="22" t="str">
        <f>IFERROR(IF(A39&gt;0,VLOOKUP(A39,[1]frente!A$3:F$10000,4,FALSE),"  "),"")</f>
        <v xml:space="preserve">  </v>
      </c>
      <c r="F39" s="218" t="str">
        <f t="shared" si="0"/>
        <v xml:space="preserve"> </v>
      </c>
      <c r="G39" s="22" t="str">
        <f t="shared" si="1"/>
        <v xml:space="preserve"> </v>
      </c>
      <c r="J39" s="247" t="str">
        <f>IFERROR(IF(A39&gt;0,VLOOKUP(A39,[1]frente!A$3:E$10000,5,FALSE)*B39,"  "),"")</f>
        <v xml:space="preserve">  </v>
      </c>
    </row>
    <row r="40" spans="1:10" ht="18" x14ac:dyDescent="0.35">
      <c r="A40" s="268"/>
      <c r="B40" s="263"/>
      <c r="C40" s="233" t="str">
        <f>IFERROR(IF(A40&gt;0,VLOOKUP(A40,[1]frente!A$3:E$10000,2,FALSE),"  "),"")</f>
        <v xml:space="preserve">  </v>
      </c>
      <c r="D40" s="218" t="str">
        <f>IFERROR(IF(A40&gt;0,VLOOKUP(A40,[1]frente!A$3:F$10000,3,FALSE),"  "),"")</f>
        <v xml:space="preserve">  </v>
      </c>
      <c r="E40" s="22" t="str">
        <f>IFERROR(IF(A40&gt;0,VLOOKUP(A40,[1]frente!A$3:F$10000,4,FALSE),"  "),"")</f>
        <v xml:space="preserve">  </v>
      </c>
      <c r="F40" s="218" t="str">
        <f t="shared" si="0"/>
        <v xml:space="preserve"> </v>
      </c>
      <c r="G40" s="22" t="str">
        <f t="shared" si="1"/>
        <v xml:space="preserve"> </v>
      </c>
      <c r="J40" s="247" t="str">
        <f>IFERROR(IF(A40&gt;0,VLOOKUP(A40,[1]frente!A$3:E$10000,5,FALSE)*B40,"  "),"")</f>
        <v xml:space="preserve">  </v>
      </c>
    </row>
    <row r="41" spans="1:10" ht="18" x14ac:dyDescent="0.35">
      <c r="A41" s="268"/>
      <c r="B41" s="263"/>
      <c r="C41" s="233" t="str">
        <f>IFERROR(IF(A41&gt;0,VLOOKUP(A41,[1]frente!A$3:E$10000,2,FALSE),"  "),"")</f>
        <v xml:space="preserve">  </v>
      </c>
      <c r="D41" s="218" t="str">
        <f>IFERROR(IF(A41&gt;0,VLOOKUP(A41,[1]frente!A$3:F$10000,3,FALSE),"  "),"")</f>
        <v xml:space="preserve">  </v>
      </c>
      <c r="E41" s="22" t="str">
        <f>IFERROR(IF(A41&gt;0,VLOOKUP(A41,[1]frente!A$3:F$10000,4,FALSE),"  "),"")</f>
        <v xml:space="preserve">  </v>
      </c>
      <c r="F41" s="218" t="str">
        <f t="shared" si="0"/>
        <v xml:space="preserve"> </v>
      </c>
      <c r="G41" s="22" t="str">
        <f t="shared" si="1"/>
        <v xml:space="preserve"> </v>
      </c>
      <c r="J41" s="247" t="str">
        <f>IFERROR(IF(A41&gt;0,VLOOKUP(A41,[1]frente!A$3:E$10000,5,FALSE)*B41,"  "),"")</f>
        <v xml:space="preserve">  </v>
      </c>
    </row>
    <row r="42" spans="1:10" ht="18" x14ac:dyDescent="0.35">
      <c r="A42" s="268"/>
      <c r="B42" s="263"/>
      <c r="C42" s="233" t="str">
        <f>IFERROR(IF(A42&gt;0,VLOOKUP(A42,[1]frente!A$3:E$10000,2,FALSE),"  "),"")</f>
        <v xml:space="preserve">  </v>
      </c>
      <c r="D42" s="218" t="str">
        <f>IFERROR(IF(A42&gt;0,VLOOKUP(A42,[1]frente!A$3:F$10000,3,FALSE),"  "),"")</f>
        <v xml:space="preserve">  </v>
      </c>
      <c r="E42" s="22" t="str">
        <f>IFERROR(IF(A42&gt;0,VLOOKUP(A42,[1]frente!A$3:F$10000,4,FALSE),"  "),"")</f>
        <v xml:space="preserve">  </v>
      </c>
      <c r="F42" s="218" t="str">
        <f t="shared" ref="F42:F73" si="2">IFERROR(IF(A42&gt;0,B42*D42," "),"")</f>
        <v xml:space="preserve"> </v>
      </c>
      <c r="G42" s="22" t="str">
        <f t="shared" ref="G42:G73" si="3">IFERROR(IF(A42&gt;0,B42/E42," "),"")</f>
        <v xml:space="preserve"> </v>
      </c>
      <c r="J42" s="247" t="str">
        <f>IFERROR(IF(A42&gt;0,VLOOKUP(A42,[1]frente!A$3:E$10000,5,FALSE)*B42,"  "),"")</f>
        <v xml:space="preserve">  </v>
      </c>
    </row>
    <row r="43" spans="1:10" ht="17.399999999999999" x14ac:dyDescent="0.3">
      <c r="A43" s="260"/>
      <c r="B43" s="264"/>
      <c r="C43" s="233" t="str">
        <f>IFERROR(IF(A43&gt;0,VLOOKUP(A43,[1]frente!A$3:E$10000,2,FALSE),"  "),"")</f>
        <v xml:space="preserve">  </v>
      </c>
      <c r="D43" s="218" t="str">
        <f>IFERROR(IF(A43&gt;0,VLOOKUP(A43,[1]frente!A$3:F$10000,3,FALSE),"  "),"")</f>
        <v xml:space="preserve">  </v>
      </c>
      <c r="E43" s="22" t="str">
        <f>IFERROR(IF(A43&gt;0,VLOOKUP(A43,[1]frente!A$3:F$10000,4,FALSE),"  "),"")</f>
        <v xml:space="preserve">  </v>
      </c>
      <c r="F43" s="218" t="str">
        <f t="shared" si="2"/>
        <v xml:space="preserve"> </v>
      </c>
      <c r="G43" s="22" t="str">
        <f t="shared" si="3"/>
        <v xml:space="preserve"> </v>
      </c>
      <c r="J43" s="247" t="str">
        <f>IFERROR(IF(A43&gt;0,VLOOKUP(A43,[1]frente!A$3:E$10000,5,FALSE)*B43,"  "),"")</f>
        <v xml:space="preserve">  </v>
      </c>
    </row>
    <row r="44" spans="1:10" ht="17.399999999999999" x14ac:dyDescent="0.3">
      <c r="A44" s="260"/>
      <c r="B44" s="264"/>
      <c r="C44" s="233" t="str">
        <f>IFERROR(IF(A44&gt;0,VLOOKUP(A44,[1]frente!A$3:E$10000,2,FALSE),"  "),"")</f>
        <v xml:space="preserve">  </v>
      </c>
      <c r="D44" s="218" t="str">
        <f>IFERROR(IF(A44&gt;0,VLOOKUP(A44,[1]frente!A$3:F$10000,3,FALSE),"  "),"")</f>
        <v xml:space="preserve">  </v>
      </c>
      <c r="E44" s="22" t="str">
        <f>IFERROR(IF(A44&gt;0,VLOOKUP(A44,[1]frente!A$3:F$10000,4,FALSE),"  "),"")</f>
        <v xml:space="preserve">  </v>
      </c>
      <c r="F44" s="218" t="str">
        <f t="shared" si="2"/>
        <v xml:space="preserve"> </v>
      </c>
      <c r="G44" s="22" t="str">
        <f t="shared" si="3"/>
        <v xml:space="preserve"> </v>
      </c>
      <c r="J44" s="247" t="str">
        <f>IFERROR(IF(A44&gt;0,VLOOKUP(A44,[1]frente!A$3:E$10000,5,FALSE)*B44,"  "),"")</f>
        <v xml:space="preserve">  </v>
      </c>
    </row>
    <row r="45" spans="1:10" ht="17.399999999999999" x14ac:dyDescent="0.3">
      <c r="A45" s="260"/>
      <c r="B45" s="264"/>
      <c r="C45" s="233" t="str">
        <f>IFERROR(IF(A45&gt;0,VLOOKUP(A45,[1]frente!A$3:E$10000,2,FALSE),"  "),"")</f>
        <v xml:space="preserve">  </v>
      </c>
      <c r="D45" s="218" t="str">
        <f>IFERROR(IF(A45&gt;0,VLOOKUP(A45,[1]frente!A$3:F$10000,3,FALSE),"  "),"")</f>
        <v xml:space="preserve">  </v>
      </c>
      <c r="E45" s="22" t="str">
        <f>IFERROR(IF(A45&gt;0,VLOOKUP(A45,[1]frente!A$3:F$10000,4,FALSE),"  "),"")</f>
        <v xml:space="preserve">  </v>
      </c>
      <c r="F45" s="218" t="str">
        <f t="shared" si="2"/>
        <v xml:space="preserve"> </v>
      </c>
      <c r="G45" s="22" t="str">
        <f t="shared" si="3"/>
        <v xml:space="preserve"> </v>
      </c>
      <c r="J45" s="247" t="str">
        <f>IFERROR(IF(A45&gt;0,VLOOKUP(A45,[1]frente!A$3:E$10000,5,FALSE)*B45,"  "),"")</f>
        <v xml:space="preserve">  </v>
      </c>
    </row>
    <row r="46" spans="1:10" ht="17.399999999999999" x14ac:dyDescent="0.3">
      <c r="A46" s="260"/>
      <c r="B46" s="264"/>
      <c r="C46" s="233" t="str">
        <f>IFERROR(IF(A46&gt;0,VLOOKUP(A46,[1]frente!A$3:E$10000,2,FALSE),"  "),"")</f>
        <v xml:space="preserve">  </v>
      </c>
      <c r="D46" s="218" t="str">
        <f>IFERROR(IF(A46&gt;0,VLOOKUP(A46,[1]frente!A$3:F$10000,3,FALSE),"  "),"")</f>
        <v xml:space="preserve">  </v>
      </c>
      <c r="E46" s="22" t="str">
        <f>IFERROR(IF(A46&gt;0,VLOOKUP(A46,[1]frente!A$3:F$10000,4,FALSE),"  "),"")</f>
        <v xml:space="preserve">  </v>
      </c>
      <c r="F46" s="218" t="str">
        <f t="shared" si="2"/>
        <v xml:space="preserve"> </v>
      </c>
      <c r="G46" s="22" t="str">
        <f t="shared" si="3"/>
        <v xml:space="preserve"> </v>
      </c>
      <c r="J46" s="247" t="str">
        <f>IFERROR(IF(A46&gt;0,VLOOKUP(A46,[1]frente!A$3:E$10000,5,FALSE)*B46,"  "),"")</f>
        <v xml:space="preserve">  </v>
      </c>
    </row>
    <row r="47" spans="1:10" ht="17.399999999999999" x14ac:dyDescent="0.3">
      <c r="A47" s="260"/>
      <c r="B47" s="264"/>
      <c r="C47" s="233" t="str">
        <f>IFERROR(IF(A47&gt;0,VLOOKUP(A47,[1]frente!A$3:E$10000,2,FALSE),"  "),"")</f>
        <v xml:space="preserve">  </v>
      </c>
      <c r="D47" s="218" t="str">
        <f>IFERROR(IF(A47&gt;0,VLOOKUP(A47,[1]frente!A$3:F$10000,3,FALSE),"  "),"")</f>
        <v xml:space="preserve">  </v>
      </c>
      <c r="E47" s="22" t="str">
        <f>IFERROR(IF(A47&gt;0,VLOOKUP(A47,[1]frente!A$3:F$10000,4,FALSE),"  "),"")</f>
        <v xml:space="preserve">  </v>
      </c>
      <c r="F47" s="218" t="str">
        <f t="shared" si="2"/>
        <v xml:space="preserve"> </v>
      </c>
      <c r="G47" s="22" t="str">
        <f t="shared" si="3"/>
        <v xml:space="preserve"> </v>
      </c>
      <c r="J47" s="247" t="str">
        <f>IFERROR(IF(A47&gt;0,VLOOKUP(A47,[1]frente!A$3:E$10000,5,FALSE)*B47,"  "),"")</f>
        <v xml:space="preserve">  </v>
      </c>
    </row>
    <row r="48" spans="1:10" ht="17.399999999999999" x14ac:dyDescent="0.3">
      <c r="A48" s="260"/>
      <c r="B48" s="264"/>
      <c r="C48" s="233" t="str">
        <f>IFERROR(IF(A48&gt;0,VLOOKUP(A48,[1]frente!A$3:E$10000,2,FALSE),"  "),"")</f>
        <v xml:space="preserve">  </v>
      </c>
      <c r="D48" s="218" t="str">
        <f>IFERROR(IF(A48&gt;0,VLOOKUP(A48,[1]frente!A$3:F$10000,3,FALSE),"  "),"")</f>
        <v xml:space="preserve">  </v>
      </c>
      <c r="E48" s="22" t="str">
        <f>IFERROR(IF(A48&gt;0,VLOOKUP(A48,[1]frente!A$3:F$10000,4,FALSE),"  "),"")</f>
        <v xml:space="preserve">  </v>
      </c>
      <c r="F48" s="218" t="str">
        <f t="shared" si="2"/>
        <v xml:space="preserve"> </v>
      </c>
      <c r="G48" s="22" t="str">
        <f t="shared" si="3"/>
        <v xml:space="preserve"> </v>
      </c>
      <c r="J48" s="247" t="str">
        <f>IFERROR(IF(A48&gt;0,VLOOKUP(A48,[1]frente!A$3:E$10000,5,FALSE)*B48,"  "),"")</f>
        <v xml:space="preserve">  </v>
      </c>
    </row>
    <row r="49" spans="1:10" ht="17.399999999999999" x14ac:dyDescent="0.3">
      <c r="A49" s="260"/>
      <c r="B49" s="264"/>
      <c r="C49" s="233" t="str">
        <f>IFERROR(IF(A49&gt;0,VLOOKUP(A49,[1]frente!A$3:E$10000,2,FALSE),"  "),"")</f>
        <v xml:space="preserve">  </v>
      </c>
      <c r="D49" s="218" t="str">
        <f>IFERROR(IF(A49&gt;0,VLOOKUP(A49,[1]frente!A$3:F$10000,3,FALSE),"  "),"")</f>
        <v xml:space="preserve">  </v>
      </c>
      <c r="E49" s="22" t="str">
        <f>IFERROR(IF(A49&gt;0,VLOOKUP(A49,[1]frente!A$3:F$10000,4,FALSE),"  "),"")</f>
        <v xml:space="preserve">  </v>
      </c>
      <c r="F49" s="218" t="str">
        <f t="shared" si="2"/>
        <v xml:space="preserve"> </v>
      </c>
      <c r="G49" s="22" t="str">
        <f t="shared" si="3"/>
        <v xml:space="preserve"> </v>
      </c>
      <c r="J49" s="247" t="str">
        <f>IFERROR(IF(A49&gt;0,VLOOKUP(A49,[1]frente!A$3:E$10000,5,FALSE)*B49,"  "),"")</f>
        <v xml:space="preserve">  </v>
      </c>
    </row>
    <row r="50" spans="1:10" ht="17.399999999999999" x14ac:dyDescent="0.3">
      <c r="A50" s="260"/>
      <c r="B50" s="264"/>
      <c r="C50" s="233" t="str">
        <f>IFERROR(IF(A50&gt;0,VLOOKUP(A50,[1]frente!A$3:E$10000,2,FALSE),"  "),"")</f>
        <v xml:space="preserve">  </v>
      </c>
      <c r="D50" s="218" t="str">
        <f>IFERROR(IF(A50&gt;0,VLOOKUP(A50,[1]frente!A$3:F$10000,3,FALSE),"  "),"")</f>
        <v xml:space="preserve">  </v>
      </c>
      <c r="E50" s="22" t="str">
        <f>IFERROR(IF(A50&gt;0,VLOOKUP(A50,[1]frente!A$3:F$10000,4,FALSE),"  "),"")</f>
        <v xml:space="preserve">  </v>
      </c>
      <c r="F50" s="218" t="str">
        <f t="shared" si="2"/>
        <v xml:space="preserve"> </v>
      </c>
      <c r="G50" s="22" t="str">
        <f t="shared" si="3"/>
        <v xml:space="preserve"> </v>
      </c>
      <c r="J50" s="247" t="str">
        <f>IFERROR(IF(A50&gt;0,VLOOKUP(A50,[1]frente!A$3:E$10000,5,FALSE)*B50,"  "),"")</f>
        <v xml:space="preserve">  </v>
      </c>
    </row>
    <row r="51" spans="1:10" ht="17.399999999999999" x14ac:dyDescent="0.3">
      <c r="A51" s="260"/>
      <c r="B51" s="264"/>
      <c r="C51" s="233" t="str">
        <f>IFERROR(IF(A51&gt;0,VLOOKUP(A51,[1]frente!A$3:E$10000,2,FALSE),"  "),"")</f>
        <v xml:space="preserve">  </v>
      </c>
      <c r="D51" s="218" t="str">
        <f>IFERROR(IF(A51&gt;0,VLOOKUP(A51,[1]frente!A$3:F$10000,3,FALSE),"  "),"")</f>
        <v xml:space="preserve">  </v>
      </c>
      <c r="E51" s="22" t="str">
        <f>IFERROR(IF(A51&gt;0,VLOOKUP(A51,[1]frente!A$3:F$10000,4,FALSE),"  "),"")</f>
        <v xml:space="preserve">  </v>
      </c>
      <c r="F51" s="218" t="str">
        <f t="shared" si="2"/>
        <v xml:space="preserve"> </v>
      </c>
      <c r="G51" s="22" t="str">
        <f t="shared" si="3"/>
        <v xml:space="preserve"> </v>
      </c>
      <c r="J51" s="247" t="str">
        <f>IFERROR(IF(A51&gt;0,VLOOKUP(A51,[1]frente!A$3:E$10000,5,FALSE)*B51,"  "),"")</f>
        <v xml:space="preserve">  </v>
      </c>
    </row>
    <row r="52" spans="1:10" ht="17.399999999999999" x14ac:dyDescent="0.3">
      <c r="A52" s="260"/>
      <c r="B52" s="264"/>
      <c r="C52" s="233" t="str">
        <f>IFERROR(IF(A52&gt;0,VLOOKUP(A52,[1]frente!A$3:E$10000,2,FALSE),"  "),"")</f>
        <v xml:space="preserve">  </v>
      </c>
      <c r="D52" s="218" t="str">
        <f>IFERROR(IF(A52&gt;0,VLOOKUP(A52,[1]frente!A$3:F$10000,3,FALSE),"  "),"")</f>
        <v xml:space="preserve">  </v>
      </c>
      <c r="E52" s="22" t="str">
        <f>IFERROR(IF(A52&gt;0,VLOOKUP(A52,[1]frente!A$3:F$10000,4,FALSE),"  "),"")</f>
        <v xml:space="preserve">  </v>
      </c>
      <c r="F52" s="218" t="str">
        <f t="shared" si="2"/>
        <v xml:space="preserve"> </v>
      </c>
      <c r="G52" s="22" t="str">
        <f t="shared" si="3"/>
        <v xml:space="preserve"> </v>
      </c>
      <c r="J52" s="247" t="str">
        <f>IFERROR(IF(A52&gt;0,VLOOKUP(A52,[1]frente!A$3:E$10000,5,FALSE)*B52,"  "),"")</f>
        <v xml:space="preserve">  </v>
      </c>
    </row>
    <row r="53" spans="1:10" ht="17.399999999999999" x14ac:dyDescent="0.3">
      <c r="A53" s="260"/>
      <c r="B53" s="264"/>
      <c r="C53" s="233" t="str">
        <f>IFERROR(IF(A53&gt;0,VLOOKUP(A53,[1]frente!A$3:E$10000,2,FALSE),"  "),"")</f>
        <v xml:space="preserve">  </v>
      </c>
      <c r="D53" s="218" t="str">
        <f>IFERROR(IF(A53&gt;0,VLOOKUP(A53,[1]frente!A$3:F$10000,3,FALSE),"  "),"")</f>
        <v xml:space="preserve">  </v>
      </c>
      <c r="E53" s="22" t="str">
        <f>IFERROR(IF(A53&gt;0,VLOOKUP(A53,[1]frente!A$3:F$10000,4,FALSE),"  "),"")</f>
        <v xml:space="preserve">  </v>
      </c>
      <c r="F53" s="218" t="str">
        <f t="shared" si="2"/>
        <v xml:space="preserve"> </v>
      </c>
      <c r="G53" s="22" t="str">
        <f t="shared" si="3"/>
        <v xml:space="preserve"> </v>
      </c>
      <c r="J53" s="247" t="str">
        <f>IFERROR(IF(A53&gt;0,VLOOKUP(A53,[1]frente!A$3:E$10000,5,FALSE)*B53,"  "),"")</f>
        <v xml:space="preserve">  </v>
      </c>
    </row>
    <row r="54" spans="1:10" ht="17.399999999999999" x14ac:dyDescent="0.3">
      <c r="A54" s="260"/>
      <c r="B54" s="264"/>
      <c r="C54" s="233" t="str">
        <f>IFERROR(IF(A54&gt;0,VLOOKUP(A54,[1]frente!A$3:E$10000,2,FALSE),"  "),"")</f>
        <v xml:space="preserve">  </v>
      </c>
      <c r="D54" s="218" t="str">
        <f>IFERROR(IF(A54&gt;0,VLOOKUP(A54,[1]frente!A$3:F$10000,3,FALSE),"  "),"")</f>
        <v xml:space="preserve">  </v>
      </c>
      <c r="E54" s="22" t="str">
        <f>IFERROR(IF(A54&gt;0,VLOOKUP(A54,[1]frente!A$3:F$10000,4,FALSE),"  "),"")</f>
        <v xml:space="preserve">  </v>
      </c>
      <c r="F54" s="218" t="str">
        <f t="shared" si="2"/>
        <v xml:space="preserve"> </v>
      </c>
      <c r="G54" s="22" t="str">
        <f t="shared" si="3"/>
        <v xml:space="preserve"> </v>
      </c>
      <c r="J54" s="247" t="str">
        <f>IFERROR(IF(A54&gt;0,VLOOKUP(A54,[1]frente!A$3:E$10000,5,FALSE)*B54,"  "),"")</f>
        <v xml:space="preserve">  </v>
      </c>
    </row>
    <row r="55" spans="1:10" ht="17.399999999999999" x14ac:dyDescent="0.3">
      <c r="A55" s="260"/>
      <c r="B55" s="264"/>
      <c r="C55" s="233" t="str">
        <f>IFERROR(IF(A55&gt;0,VLOOKUP(A55,[1]frente!A$3:E$10000,2,FALSE),"  "),"")</f>
        <v xml:space="preserve">  </v>
      </c>
      <c r="D55" s="218" t="str">
        <f>IFERROR(IF(A55&gt;0,VLOOKUP(A55,[1]frente!A$3:F$10000,3,FALSE),"  "),"")</f>
        <v xml:space="preserve">  </v>
      </c>
      <c r="E55" s="22" t="str">
        <f>IFERROR(IF(A55&gt;0,VLOOKUP(A55,[1]frente!A$3:F$10000,4,FALSE),"  "),"")</f>
        <v xml:space="preserve">  </v>
      </c>
      <c r="F55" s="218" t="str">
        <f t="shared" si="2"/>
        <v xml:space="preserve"> </v>
      </c>
      <c r="G55" s="22" t="str">
        <f t="shared" si="3"/>
        <v xml:space="preserve"> </v>
      </c>
      <c r="J55" s="247" t="str">
        <f>IFERROR(IF(A55&gt;0,VLOOKUP(A55,[1]frente!A$3:E$10000,5,FALSE)*B55,"  "),"")</f>
        <v xml:space="preserve">  </v>
      </c>
    </row>
    <row r="56" spans="1:10" ht="17.399999999999999" x14ac:dyDescent="0.3">
      <c r="A56" s="260"/>
      <c r="B56" s="264"/>
      <c r="C56" s="233" t="str">
        <f>IFERROR(IF(A56&gt;0,VLOOKUP(A56,[1]frente!A$3:E$10000,2,FALSE),"  "),"")</f>
        <v xml:space="preserve">  </v>
      </c>
      <c r="D56" s="218" t="str">
        <f>IFERROR(IF(A56&gt;0,VLOOKUP(A56,[1]frente!A$3:F$10000,3,FALSE),"  "),"")</f>
        <v xml:space="preserve">  </v>
      </c>
      <c r="E56" s="22" t="str">
        <f>IFERROR(IF(A56&gt;0,VLOOKUP(A56,[1]frente!A$3:F$10000,4,FALSE),"  "),"")</f>
        <v xml:space="preserve">  </v>
      </c>
      <c r="F56" s="218" t="str">
        <f t="shared" si="2"/>
        <v xml:space="preserve"> </v>
      </c>
      <c r="G56" s="22" t="str">
        <f t="shared" si="3"/>
        <v xml:space="preserve"> </v>
      </c>
      <c r="J56" s="247" t="str">
        <f>IFERROR(IF(A56&gt;0,VLOOKUP(A56,[1]frente!A$3:E$10000,5,FALSE)*B56,"  "),"")</f>
        <v xml:space="preserve">  </v>
      </c>
    </row>
    <row r="57" spans="1:10" ht="17.399999999999999" x14ac:dyDescent="0.3">
      <c r="A57" s="260"/>
      <c r="B57" s="264"/>
      <c r="C57" s="233" t="str">
        <f>IFERROR(IF(A57&gt;0,VLOOKUP(A57,[1]frente!A$3:E$10000,2,FALSE),"  "),"")</f>
        <v xml:space="preserve">  </v>
      </c>
      <c r="D57" s="218" t="str">
        <f>IFERROR(IF(A57&gt;0,VLOOKUP(A57,[1]frente!A$3:F$10000,3,FALSE),"  "),"")</f>
        <v xml:space="preserve">  </v>
      </c>
      <c r="E57" s="22" t="str">
        <f>IFERROR(IF(A57&gt;0,VLOOKUP(A57,[1]frente!A$3:F$10000,4,FALSE),"  "),"")</f>
        <v xml:space="preserve">  </v>
      </c>
      <c r="F57" s="218" t="str">
        <f t="shared" si="2"/>
        <v xml:space="preserve"> </v>
      </c>
      <c r="G57" s="22" t="str">
        <f t="shared" si="3"/>
        <v xml:space="preserve"> </v>
      </c>
      <c r="J57" s="247" t="str">
        <f>IFERROR(IF(A57&gt;0,VLOOKUP(A57,[1]frente!A$3:E$10000,5,FALSE)*B57,"  "),"")</f>
        <v xml:space="preserve">  </v>
      </c>
    </row>
    <row r="58" spans="1:10" ht="17.399999999999999" x14ac:dyDescent="0.3">
      <c r="A58" s="260"/>
      <c r="B58" s="264"/>
      <c r="C58" s="233" t="str">
        <f>IFERROR(IF(A58&gt;0,VLOOKUP(A58,[1]frente!A$3:E$10000,2,FALSE),"  "),"")</f>
        <v xml:space="preserve">  </v>
      </c>
      <c r="D58" s="218" t="str">
        <f>IFERROR(IF(A58&gt;0,VLOOKUP(A58,[1]frente!A$3:F$10000,3,FALSE),"  "),"")</f>
        <v xml:space="preserve">  </v>
      </c>
      <c r="E58" s="22" t="str">
        <f>IFERROR(IF(A58&gt;0,VLOOKUP(A58,[1]frente!A$3:F$10000,4,FALSE),"  "),"")</f>
        <v xml:space="preserve">  </v>
      </c>
      <c r="F58" s="218" t="str">
        <f t="shared" si="2"/>
        <v xml:space="preserve"> </v>
      </c>
      <c r="G58" s="22" t="str">
        <f t="shared" si="3"/>
        <v xml:space="preserve"> </v>
      </c>
      <c r="J58" s="247" t="str">
        <f>IFERROR(IF(A58&gt;0,VLOOKUP(A58,[1]frente!A$3:E$10000,5,FALSE)*B58,"  "),"")</f>
        <v xml:space="preserve">  </v>
      </c>
    </row>
    <row r="59" spans="1:10" ht="17.399999999999999" x14ac:dyDescent="0.3">
      <c r="A59" s="260"/>
      <c r="B59" s="264"/>
      <c r="C59" s="233" t="str">
        <f>IFERROR(IF(A59&gt;0,VLOOKUP(A59,[1]frente!A$3:E$10000,2,FALSE),"  "),"")</f>
        <v xml:space="preserve">  </v>
      </c>
      <c r="D59" s="218" t="str">
        <f>IFERROR(IF(A59&gt;0,VLOOKUP(A59,[1]frente!A$3:F$10000,3,FALSE),"  "),"")</f>
        <v xml:space="preserve">  </v>
      </c>
      <c r="E59" s="22" t="str">
        <f>IFERROR(IF(A59&gt;0,VLOOKUP(A59,[1]frente!A$3:F$10000,4,FALSE),"  "),"")</f>
        <v xml:space="preserve">  </v>
      </c>
      <c r="F59" s="218" t="str">
        <f t="shared" si="2"/>
        <v xml:space="preserve"> </v>
      </c>
      <c r="G59" s="22" t="str">
        <f t="shared" si="3"/>
        <v xml:space="preserve"> </v>
      </c>
      <c r="J59" s="247" t="str">
        <f>IFERROR(IF(A59&gt;0,VLOOKUP(A59,[1]frente!A$3:E$10000,5,FALSE)*B59,"  "),"")</f>
        <v xml:space="preserve">  </v>
      </c>
    </row>
    <row r="60" spans="1:10" ht="17.399999999999999" x14ac:dyDescent="0.3">
      <c r="A60" s="260"/>
      <c r="B60" s="264"/>
      <c r="C60" s="233" t="str">
        <f>IFERROR(IF(A60&gt;0,VLOOKUP(A60,[1]frente!A$3:E$10000,2,FALSE),"  "),"")</f>
        <v xml:space="preserve">  </v>
      </c>
      <c r="D60" s="218" t="str">
        <f>IFERROR(IF(A60&gt;0,VLOOKUP(A60,[1]frente!A$3:F$10000,3,FALSE),"  "),"")</f>
        <v xml:space="preserve">  </v>
      </c>
      <c r="E60" s="22" t="str">
        <f>IFERROR(IF(A60&gt;0,VLOOKUP(A60,[1]frente!A$3:F$10000,4,FALSE),"  "),"")</f>
        <v xml:space="preserve">  </v>
      </c>
      <c r="F60" s="218" t="str">
        <f t="shared" si="2"/>
        <v xml:space="preserve"> </v>
      </c>
      <c r="G60" s="22" t="str">
        <f t="shared" si="3"/>
        <v xml:space="preserve"> </v>
      </c>
      <c r="J60" s="247" t="str">
        <f>IFERROR(IF(A60&gt;0,VLOOKUP(A60,[1]frente!A$3:E$10000,5,FALSE)*B60,"  "),"")</f>
        <v xml:space="preserve">  </v>
      </c>
    </row>
    <row r="61" spans="1:10" ht="17.399999999999999" x14ac:dyDescent="0.3">
      <c r="A61" s="260"/>
      <c r="B61" s="264"/>
      <c r="C61" s="233" t="str">
        <f>IFERROR(IF(A61&gt;0,VLOOKUP(A61,[1]frente!A$3:E$10000,2,FALSE),"  "),"")</f>
        <v xml:space="preserve">  </v>
      </c>
      <c r="D61" s="218" t="str">
        <f>IFERROR(IF(A61&gt;0,VLOOKUP(A61,[1]frente!A$3:F$10000,3,FALSE),"  "),"")</f>
        <v xml:space="preserve">  </v>
      </c>
      <c r="E61" s="22" t="str">
        <f>IFERROR(IF(A61&gt;0,VLOOKUP(A61,[1]frente!A$3:F$10000,4,FALSE),"  "),"")</f>
        <v xml:space="preserve">  </v>
      </c>
      <c r="F61" s="218" t="str">
        <f t="shared" si="2"/>
        <v xml:space="preserve"> </v>
      </c>
      <c r="G61" s="22" t="str">
        <f t="shared" si="3"/>
        <v xml:space="preserve"> </v>
      </c>
      <c r="J61" s="247" t="str">
        <f>IFERROR(IF(A61&gt;0,VLOOKUP(A61,[1]frente!A$3:E$10000,5,FALSE)*B61,"  "),"")</f>
        <v xml:space="preserve">  </v>
      </c>
    </row>
    <row r="62" spans="1:10" ht="17.399999999999999" x14ac:dyDescent="0.3">
      <c r="A62" s="260"/>
      <c r="B62" s="264"/>
      <c r="C62" s="233" t="str">
        <f>IFERROR(IF(A62&gt;0,VLOOKUP(A62,[1]frente!A$3:E$10000,2,FALSE),"  "),"")</f>
        <v xml:space="preserve">  </v>
      </c>
      <c r="D62" s="218" t="str">
        <f>IFERROR(IF(A62&gt;0,VLOOKUP(A62,[1]frente!A$3:F$10000,3,FALSE),"  "),"")</f>
        <v xml:space="preserve">  </v>
      </c>
      <c r="E62" s="22" t="str">
        <f>IFERROR(IF(A62&gt;0,VLOOKUP(A62,[1]frente!A$3:F$10000,4,FALSE),"  "),"")</f>
        <v xml:space="preserve">  </v>
      </c>
      <c r="F62" s="218" t="str">
        <f t="shared" si="2"/>
        <v xml:space="preserve"> </v>
      </c>
      <c r="G62" s="22" t="str">
        <f t="shared" si="3"/>
        <v xml:space="preserve"> </v>
      </c>
      <c r="J62" s="247" t="str">
        <f>IFERROR(IF(A62&gt;0,VLOOKUP(A62,[1]frente!A$3:E$10000,5,FALSE)*B62,"  "),"")</f>
        <v xml:space="preserve">  </v>
      </c>
    </row>
    <row r="63" spans="1:10" ht="17.399999999999999" x14ac:dyDescent="0.3">
      <c r="A63" s="260"/>
      <c r="B63" s="264"/>
      <c r="C63" s="233" t="str">
        <f>IFERROR(IF(A63&gt;0,VLOOKUP(A63,[1]frente!A$3:E$10000,2,FALSE),"  "),"")</f>
        <v xml:space="preserve">  </v>
      </c>
      <c r="D63" s="218" t="str">
        <f>IFERROR(IF(A63&gt;0,VLOOKUP(A63,[1]frente!A$3:F$10000,3,FALSE),"  "),"")</f>
        <v xml:space="preserve">  </v>
      </c>
      <c r="E63" s="22" t="str">
        <f>IFERROR(IF(A63&gt;0,VLOOKUP(A63,[1]frente!A$3:F$10000,4,FALSE),"  "),"")</f>
        <v xml:space="preserve">  </v>
      </c>
      <c r="F63" s="218" t="str">
        <f t="shared" si="2"/>
        <v xml:space="preserve"> </v>
      </c>
      <c r="G63" s="22" t="str">
        <f t="shared" si="3"/>
        <v xml:space="preserve"> </v>
      </c>
      <c r="J63" s="247" t="str">
        <f>IFERROR(IF(A63&gt;0,VLOOKUP(A63,[1]frente!A$3:E$10000,5,FALSE)*B63,"  "),"")</f>
        <v xml:space="preserve">  </v>
      </c>
    </row>
    <row r="64" spans="1:10" ht="17.399999999999999" x14ac:dyDescent="0.3">
      <c r="A64" s="260"/>
      <c r="B64" s="264"/>
      <c r="C64" s="233" t="str">
        <f>IFERROR(IF(A64&gt;0,VLOOKUP(A64,[1]frente!A$3:E$10000,2,FALSE),"  "),"")</f>
        <v xml:space="preserve">  </v>
      </c>
      <c r="D64" s="218" t="str">
        <f>IFERROR(IF(A64&gt;0,VLOOKUP(A64,[1]frente!A$3:F$10000,3,FALSE),"  "),"")</f>
        <v xml:space="preserve">  </v>
      </c>
      <c r="E64" s="22" t="str">
        <f>IFERROR(IF(A64&gt;0,VLOOKUP(A64,[1]frente!A$3:F$10000,4,FALSE),"  "),"")</f>
        <v xml:space="preserve">  </v>
      </c>
      <c r="F64" s="218" t="str">
        <f t="shared" si="2"/>
        <v xml:space="preserve"> </v>
      </c>
      <c r="G64" s="22" t="str">
        <f t="shared" si="3"/>
        <v xml:space="preserve"> </v>
      </c>
      <c r="J64" s="247" t="str">
        <f>IFERROR(IF(A64&gt;0,VLOOKUP(A64,[1]frente!A$3:E$10000,5,FALSE)*B64,"  "),"")</f>
        <v xml:space="preserve">  </v>
      </c>
    </row>
    <row r="65" spans="1:10" ht="17.399999999999999" x14ac:dyDescent="0.3">
      <c r="A65" s="260"/>
      <c r="B65" s="264"/>
      <c r="C65" s="233" t="str">
        <f>IFERROR(IF(A65&gt;0,VLOOKUP(A65,[1]frente!A$3:E$10000,2,FALSE),"  "),"")</f>
        <v xml:space="preserve">  </v>
      </c>
      <c r="D65" s="218" t="str">
        <f>IFERROR(IF(A65&gt;0,VLOOKUP(A65,[1]frente!A$3:F$10000,3,FALSE),"  "),"")</f>
        <v xml:space="preserve">  </v>
      </c>
      <c r="E65" s="22" t="str">
        <f>IFERROR(IF(A65&gt;0,VLOOKUP(A65,[1]frente!A$3:F$10000,4,FALSE),"  "),"")</f>
        <v xml:space="preserve">  </v>
      </c>
      <c r="F65" s="218" t="str">
        <f t="shared" si="2"/>
        <v xml:space="preserve"> </v>
      </c>
      <c r="G65" s="22" t="str">
        <f t="shared" si="3"/>
        <v xml:space="preserve"> </v>
      </c>
      <c r="J65" s="247" t="str">
        <f>IFERROR(IF(A65&gt;0,VLOOKUP(A65,[1]frente!A$3:E$10000,5,FALSE)*B65,"  "),"")</f>
        <v xml:space="preserve">  </v>
      </c>
    </row>
    <row r="66" spans="1:10" ht="17.399999999999999" x14ac:dyDescent="0.3">
      <c r="A66" s="260"/>
      <c r="B66" s="264"/>
      <c r="C66" s="233" t="str">
        <f>IFERROR(IF(A66&gt;0,VLOOKUP(A66,[1]frente!A$3:E$10000,2,FALSE),"  "),"")</f>
        <v xml:space="preserve">  </v>
      </c>
      <c r="D66" s="218" t="str">
        <f>IFERROR(IF(A66&gt;0,VLOOKUP(A66,[1]frente!A$3:F$10000,3,FALSE),"  "),"")</f>
        <v xml:space="preserve">  </v>
      </c>
      <c r="E66" s="22" t="str">
        <f>IFERROR(IF(A66&gt;0,VLOOKUP(A66,[1]frente!A$3:F$10000,4,FALSE),"  "),"")</f>
        <v xml:space="preserve">  </v>
      </c>
      <c r="F66" s="218" t="str">
        <f t="shared" si="2"/>
        <v xml:space="preserve"> </v>
      </c>
      <c r="G66" s="22" t="str">
        <f t="shared" si="3"/>
        <v xml:space="preserve"> </v>
      </c>
      <c r="J66" s="247" t="str">
        <f>IFERROR(IF(A66&gt;0,VLOOKUP(A66,[1]frente!A$3:E$10000,5,FALSE)*B66,"  "),"")</f>
        <v xml:space="preserve">  </v>
      </c>
    </row>
    <row r="67" spans="1:10" ht="17.399999999999999" x14ac:dyDescent="0.3">
      <c r="A67" s="260"/>
      <c r="B67" s="264"/>
      <c r="C67" s="233" t="str">
        <f>IFERROR(IF(A67&gt;0,VLOOKUP(A67,[1]frente!A$3:E$10000,2,FALSE),"  "),"")</f>
        <v xml:space="preserve">  </v>
      </c>
      <c r="D67" s="218" t="str">
        <f>IFERROR(IF(A67&gt;0,VLOOKUP(A67,[1]frente!A$3:F$10000,3,FALSE),"  "),"")</f>
        <v xml:space="preserve">  </v>
      </c>
      <c r="E67" s="22" t="str">
        <f>IFERROR(IF(A67&gt;0,VLOOKUP(A67,[1]frente!A$3:F$10000,4,FALSE),"  "),"")</f>
        <v xml:space="preserve">  </v>
      </c>
      <c r="F67" s="218" t="str">
        <f t="shared" si="2"/>
        <v xml:space="preserve"> </v>
      </c>
      <c r="G67" s="22" t="str">
        <f t="shared" si="3"/>
        <v xml:space="preserve"> </v>
      </c>
      <c r="J67" s="247" t="str">
        <f>IFERROR(IF(A67&gt;0,VLOOKUP(A67,[1]frente!A$3:E$10000,5,FALSE)*B67,"  "),"")</f>
        <v xml:space="preserve">  </v>
      </c>
    </row>
    <row r="68" spans="1:10" ht="17.399999999999999" x14ac:dyDescent="0.3">
      <c r="A68" s="260"/>
      <c r="B68" s="264"/>
      <c r="C68" s="233" t="str">
        <f>IFERROR(IF(A68&gt;0,VLOOKUP(A68,[1]frente!A$3:E$10000,2,FALSE),"  "),"")</f>
        <v xml:space="preserve">  </v>
      </c>
      <c r="D68" s="218" t="str">
        <f>IFERROR(IF(A68&gt;0,VLOOKUP(A68,[1]frente!A$3:F$10000,3,FALSE),"  "),"")</f>
        <v xml:space="preserve">  </v>
      </c>
      <c r="E68" s="22" t="str">
        <f>IFERROR(IF(A68&gt;0,VLOOKUP(A68,[1]frente!A$3:F$10000,4,FALSE),"  "),"")</f>
        <v xml:space="preserve">  </v>
      </c>
      <c r="F68" s="218" t="str">
        <f t="shared" si="2"/>
        <v xml:space="preserve"> </v>
      </c>
      <c r="G68" s="22" t="str">
        <f t="shared" si="3"/>
        <v xml:space="preserve"> </v>
      </c>
      <c r="J68" s="247" t="str">
        <f>IFERROR(IF(A68&gt;0,VLOOKUP(A68,[1]frente!A$3:E$10000,5,FALSE)*B68,"  "),"")</f>
        <v xml:space="preserve">  </v>
      </c>
    </row>
    <row r="69" spans="1:10" ht="17.399999999999999" x14ac:dyDescent="0.3">
      <c r="A69" s="260"/>
      <c r="B69" s="264"/>
      <c r="C69" s="233" t="str">
        <f>IFERROR(IF(A69&gt;0,VLOOKUP(A69,[1]frente!A$3:E$10000,2,FALSE),"  "),"")</f>
        <v xml:space="preserve">  </v>
      </c>
      <c r="D69" s="218" t="str">
        <f>IFERROR(IF(A69&gt;0,VLOOKUP(A69,[1]frente!A$3:F$10000,3,FALSE),"  "),"")</f>
        <v xml:space="preserve">  </v>
      </c>
      <c r="E69" s="22" t="str">
        <f>IFERROR(IF(A69&gt;0,VLOOKUP(A69,[1]frente!A$3:F$10000,4,FALSE),"  "),"")</f>
        <v xml:space="preserve">  </v>
      </c>
      <c r="F69" s="218" t="str">
        <f t="shared" si="2"/>
        <v xml:space="preserve"> </v>
      </c>
      <c r="G69" s="22" t="str">
        <f t="shared" si="3"/>
        <v xml:space="preserve"> </v>
      </c>
      <c r="J69" s="247" t="str">
        <f>IFERROR(IF(A69&gt;0,VLOOKUP(A69,[1]frente!A$3:E$10000,5,FALSE)*B69,"  "),"")</f>
        <v xml:space="preserve">  </v>
      </c>
    </row>
    <row r="70" spans="1:10" ht="17.399999999999999" x14ac:dyDescent="0.3">
      <c r="A70" s="260"/>
      <c r="B70" s="264"/>
      <c r="C70" s="233" t="str">
        <f>IFERROR(IF(A70&gt;0,VLOOKUP(A70,[1]frente!A$3:E$10000,2,FALSE),"  "),"")</f>
        <v xml:space="preserve">  </v>
      </c>
      <c r="D70" s="218" t="str">
        <f>IFERROR(IF(A70&gt;0,VLOOKUP(A70,[1]frente!A$3:F$10000,3,FALSE),"  "),"")</f>
        <v xml:space="preserve">  </v>
      </c>
      <c r="E70" s="22" t="str">
        <f>IFERROR(IF(A70&gt;0,VLOOKUP(A70,[1]frente!A$3:F$10000,4,FALSE),"  "),"")</f>
        <v xml:space="preserve">  </v>
      </c>
      <c r="F70" s="218" t="str">
        <f t="shared" si="2"/>
        <v xml:space="preserve"> </v>
      </c>
      <c r="G70" s="22" t="str">
        <f t="shared" si="3"/>
        <v xml:space="preserve"> </v>
      </c>
      <c r="J70" s="247" t="str">
        <f>IFERROR(IF(A70&gt;0,VLOOKUP(A70,[1]frente!A$3:E$10000,5,FALSE)*B70,"  "),"")</f>
        <v xml:space="preserve">  </v>
      </c>
    </row>
    <row r="71" spans="1:10" ht="17.399999999999999" x14ac:dyDescent="0.3">
      <c r="A71" s="260"/>
      <c r="B71" s="264"/>
      <c r="C71" s="233" t="str">
        <f>IFERROR(IF(A71&gt;0,VLOOKUP(A71,[1]frente!A$3:E$10000,2,FALSE),"  "),"")</f>
        <v xml:space="preserve">  </v>
      </c>
      <c r="D71" s="218" t="str">
        <f>IFERROR(IF(A71&gt;0,VLOOKUP(A71,[1]frente!A$3:F$10000,3,FALSE),"  "),"")</f>
        <v xml:space="preserve">  </v>
      </c>
      <c r="E71" s="22" t="str">
        <f>IFERROR(IF(A71&gt;0,VLOOKUP(A71,[1]frente!A$3:F$10000,4,FALSE),"  "),"")</f>
        <v xml:space="preserve">  </v>
      </c>
      <c r="F71" s="218" t="str">
        <f t="shared" si="2"/>
        <v xml:space="preserve"> </v>
      </c>
      <c r="G71" s="22" t="str">
        <f t="shared" si="3"/>
        <v xml:space="preserve"> </v>
      </c>
      <c r="J71" s="247" t="str">
        <f>IFERROR(IF(A71&gt;0,VLOOKUP(A71,[1]frente!A$3:E$10000,5,FALSE)*B71,"  "),"")</f>
        <v xml:space="preserve">  </v>
      </c>
    </row>
    <row r="72" spans="1:10" ht="17.399999999999999" x14ac:dyDescent="0.3">
      <c r="A72" s="260"/>
      <c r="B72" s="264"/>
      <c r="C72" s="233" t="str">
        <f>IFERROR(IF(A72&gt;0,VLOOKUP(A72,[1]frente!A$3:E$10000,2,FALSE),"  "),"")</f>
        <v xml:space="preserve">  </v>
      </c>
      <c r="D72" s="218" t="str">
        <f>IFERROR(IF(A72&gt;0,VLOOKUP(A72,[1]frente!A$3:F$10000,3,FALSE),"  "),"")</f>
        <v xml:space="preserve">  </v>
      </c>
      <c r="E72" s="22" t="str">
        <f>IFERROR(IF(A72&gt;0,VLOOKUP(A72,[1]frente!A$3:F$10000,4,FALSE),"  "),"")</f>
        <v xml:space="preserve">  </v>
      </c>
      <c r="F72" s="218" t="str">
        <f t="shared" si="2"/>
        <v xml:space="preserve"> </v>
      </c>
      <c r="G72" s="22" t="str">
        <f t="shared" si="3"/>
        <v xml:space="preserve"> </v>
      </c>
      <c r="J72" s="247" t="str">
        <f>IFERROR(IF(A72&gt;0,VLOOKUP(A72,[1]frente!A$3:E$10000,5,FALSE)*B72,"  "),"")</f>
        <v xml:space="preserve">  </v>
      </c>
    </row>
    <row r="73" spans="1:10" ht="17.399999999999999" x14ac:dyDescent="0.3">
      <c r="A73" s="260"/>
      <c r="B73" s="264"/>
      <c r="C73" s="233" t="str">
        <f>IFERROR(IF(A73&gt;0,VLOOKUP(A73,[1]frente!A$3:E$10000,2,FALSE),"  "),"")</f>
        <v xml:space="preserve">  </v>
      </c>
      <c r="D73" s="218" t="str">
        <f>IFERROR(IF(A73&gt;0,VLOOKUP(A73,[1]frente!A$3:F$10000,3,FALSE),"  "),"")</f>
        <v xml:space="preserve">  </v>
      </c>
      <c r="E73" s="22" t="str">
        <f>IFERROR(IF(A73&gt;0,VLOOKUP(A73,[1]frente!A$3:F$10000,4,FALSE),"  "),"")</f>
        <v xml:space="preserve">  </v>
      </c>
      <c r="F73" s="218" t="str">
        <f t="shared" si="2"/>
        <v xml:space="preserve"> </v>
      </c>
      <c r="G73" s="22" t="str">
        <f t="shared" si="3"/>
        <v xml:space="preserve"> </v>
      </c>
      <c r="J73" s="247" t="str">
        <f>IFERROR(IF(A73&gt;0,VLOOKUP(A73,[1]frente!A$3:E$10000,5,FALSE)*B73,"  "),"")</f>
        <v xml:space="preserve">  </v>
      </c>
    </row>
    <row r="74" spans="1:10" ht="17.399999999999999" x14ac:dyDescent="0.3">
      <c r="A74" s="260"/>
      <c r="B74" s="264"/>
      <c r="C74" s="233" t="str">
        <f>IFERROR(IF(A74&gt;0,VLOOKUP(A74,[1]frente!A$3:E$10000,2,FALSE),"  "),"")</f>
        <v xml:space="preserve">  </v>
      </c>
      <c r="D74" s="218" t="str">
        <f>IFERROR(IF(A74&gt;0,VLOOKUP(A74,[1]frente!A$3:F$10000,3,FALSE),"  "),"")</f>
        <v xml:space="preserve">  </v>
      </c>
      <c r="E74" s="22" t="str">
        <f>IFERROR(IF(A74&gt;0,VLOOKUP(A74,[1]frente!A$3:F$10000,4,FALSE),"  "),"")</f>
        <v xml:space="preserve">  </v>
      </c>
      <c r="F74" s="218" t="str">
        <f t="shared" ref="F74:F105" si="4">IFERROR(IF(A74&gt;0,B74*D74," "),"")</f>
        <v xml:space="preserve"> </v>
      </c>
      <c r="G74" s="22" t="str">
        <f t="shared" ref="G74:G105" si="5">IFERROR(IF(A74&gt;0,B74/E74," "),"")</f>
        <v xml:space="preserve"> </v>
      </c>
      <c r="J74" s="247" t="str">
        <f>IFERROR(IF(A74&gt;0,VLOOKUP(A74,[1]frente!A$3:E$10000,5,FALSE)*B74,"  "),"")</f>
        <v xml:space="preserve">  </v>
      </c>
    </row>
    <row r="75" spans="1:10" ht="17.399999999999999" x14ac:dyDescent="0.3">
      <c r="A75" s="260"/>
      <c r="B75" s="264"/>
      <c r="C75" s="233" t="str">
        <f>IFERROR(IF(A75&gt;0,VLOOKUP(A75,[1]frente!A$3:E$10000,2,FALSE),"  "),"")</f>
        <v xml:space="preserve">  </v>
      </c>
      <c r="D75" s="218" t="str">
        <f>IFERROR(IF(A75&gt;0,VLOOKUP(A75,[1]frente!A$3:F$10000,3,FALSE),"  "),"")</f>
        <v xml:space="preserve">  </v>
      </c>
      <c r="E75" s="22" t="str">
        <f>IFERROR(IF(A75&gt;0,VLOOKUP(A75,[1]frente!A$3:F$10000,4,FALSE),"  "),"")</f>
        <v xml:space="preserve">  </v>
      </c>
      <c r="F75" s="218" t="str">
        <f t="shared" si="4"/>
        <v xml:space="preserve"> </v>
      </c>
      <c r="G75" s="22" t="str">
        <f t="shared" si="5"/>
        <v xml:space="preserve"> </v>
      </c>
      <c r="J75" s="247" t="str">
        <f>IFERROR(IF(A75&gt;0,VLOOKUP(A75,[1]frente!A$3:E$10000,5,FALSE)*B75,"  "),"")</f>
        <v xml:space="preserve">  </v>
      </c>
    </row>
    <row r="76" spans="1:10" ht="17.399999999999999" x14ac:dyDescent="0.3">
      <c r="A76" s="260"/>
      <c r="B76" s="264"/>
      <c r="C76" s="233" t="str">
        <f>IFERROR(IF(A76&gt;0,VLOOKUP(A76,[1]frente!A$3:E$10000,2,FALSE),"  "),"")</f>
        <v xml:space="preserve">  </v>
      </c>
      <c r="D76" s="218" t="str">
        <f>IFERROR(IF(A76&gt;0,VLOOKUP(A76,[1]frente!A$3:F$10000,3,FALSE),"  "),"")</f>
        <v xml:space="preserve">  </v>
      </c>
      <c r="E76" s="22" t="str">
        <f>IFERROR(IF(A76&gt;0,VLOOKUP(A76,[1]frente!A$3:F$10000,4,FALSE),"  "),"")</f>
        <v xml:space="preserve">  </v>
      </c>
      <c r="F76" s="218" t="str">
        <f t="shared" si="4"/>
        <v xml:space="preserve"> </v>
      </c>
      <c r="G76" s="22" t="str">
        <f t="shared" si="5"/>
        <v xml:space="preserve"> </v>
      </c>
      <c r="J76" s="247" t="str">
        <f>IFERROR(IF(A76&gt;0,VLOOKUP(A76,[1]frente!A$3:E$10000,5,FALSE)*B76,"  "),"")</f>
        <v xml:space="preserve">  </v>
      </c>
    </row>
    <row r="77" spans="1:10" ht="17.399999999999999" x14ac:dyDescent="0.3">
      <c r="A77" s="260"/>
      <c r="B77" s="264"/>
      <c r="C77" s="233" t="str">
        <f>IFERROR(IF(A77&gt;0,VLOOKUP(A77,[1]frente!A$3:E$10000,2,FALSE),"  "),"")</f>
        <v xml:space="preserve">  </v>
      </c>
      <c r="D77" s="218" t="str">
        <f>IFERROR(IF(A77&gt;0,VLOOKUP(A77,[1]frente!A$3:F$10000,3,FALSE),"  "),"")</f>
        <v xml:space="preserve">  </v>
      </c>
      <c r="E77" s="22" t="str">
        <f>IFERROR(IF(A77&gt;0,VLOOKUP(A77,[1]frente!A$3:F$10000,4,FALSE),"  "),"")</f>
        <v xml:space="preserve">  </v>
      </c>
      <c r="F77" s="218" t="str">
        <f t="shared" si="4"/>
        <v xml:space="preserve"> </v>
      </c>
      <c r="G77" s="22" t="str">
        <f t="shared" si="5"/>
        <v xml:space="preserve"> </v>
      </c>
      <c r="J77" s="247" t="str">
        <f>IFERROR(IF(A77&gt;0,VLOOKUP(A77,[1]frente!A$3:E$10000,5,FALSE)*B77,"  "),"")</f>
        <v xml:space="preserve">  </v>
      </c>
    </row>
    <row r="78" spans="1:10" ht="17.399999999999999" x14ac:dyDescent="0.3">
      <c r="A78" s="260"/>
      <c r="B78" s="264"/>
      <c r="C78" s="233" t="str">
        <f>IFERROR(IF(A78&gt;0,VLOOKUP(A78,[1]frente!A$3:E$10000,2,FALSE),"  "),"")</f>
        <v xml:space="preserve">  </v>
      </c>
      <c r="D78" s="218" t="str">
        <f>IFERROR(IF(A78&gt;0,VLOOKUP(A78,[1]frente!A$3:F$10000,3,FALSE),"  "),"")</f>
        <v xml:space="preserve">  </v>
      </c>
      <c r="E78" s="22" t="str">
        <f>IFERROR(IF(A78&gt;0,VLOOKUP(A78,[1]frente!A$3:F$10000,4,FALSE),"  "),"")</f>
        <v xml:space="preserve">  </v>
      </c>
      <c r="F78" s="218" t="str">
        <f t="shared" si="4"/>
        <v xml:space="preserve"> </v>
      </c>
      <c r="G78" s="22" t="str">
        <f t="shared" si="5"/>
        <v xml:space="preserve"> </v>
      </c>
      <c r="J78" s="247" t="str">
        <f>IFERROR(IF(A78&gt;0,VLOOKUP(A78,[1]frente!A$3:E$10000,5,FALSE)*B78,"  "),"")</f>
        <v xml:space="preserve">  </v>
      </c>
    </row>
    <row r="79" spans="1:10" ht="17.399999999999999" x14ac:dyDescent="0.3">
      <c r="A79" s="260"/>
      <c r="B79" s="264"/>
      <c r="C79" s="233" t="str">
        <f>IFERROR(IF(A79&gt;0,VLOOKUP(A79,[1]frente!A$3:E$10000,2,FALSE),"  "),"")</f>
        <v xml:space="preserve">  </v>
      </c>
      <c r="D79" s="218" t="str">
        <f>IFERROR(IF(A79&gt;0,VLOOKUP(A79,[1]frente!A$3:F$10000,3,FALSE),"  "),"")</f>
        <v xml:space="preserve">  </v>
      </c>
      <c r="E79" s="22" t="str">
        <f>IFERROR(IF(A79&gt;0,VLOOKUP(A79,[1]frente!A$3:F$10000,4,FALSE),"  "),"")</f>
        <v xml:space="preserve">  </v>
      </c>
      <c r="F79" s="218" t="str">
        <f t="shared" si="4"/>
        <v xml:space="preserve"> </v>
      </c>
      <c r="G79" s="22" t="str">
        <f t="shared" si="5"/>
        <v xml:space="preserve"> </v>
      </c>
      <c r="J79" s="247" t="str">
        <f>IFERROR(IF(A79&gt;0,VLOOKUP(A79,[1]frente!A$3:E$10000,5,FALSE)*B79,"  "),"")</f>
        <v xml:space="preserve">  </v>
      </c>
    </row>
    <row r="80" spans="1:10" ht="17.399999999999999" x14ac:dyDescent="0.3">
      <c r="A80" s="260"/>
      <c r="B80" s="264"/>
      <c r="C80" s="233" t="str">
        <f>IFERROR(IF(A80&gt;0,VLOOKUP(A80,[1]frente!A$3:E$10000,2,FALSE),"  "),"")</f>
        <v xml:space="preserve">  </v>
      </c>
      <c r="D80" s="218" t="str">
        <f>IFERROR(IF(A80&gt;0,VLOOKUP(A80,[1]frente!A$3:F$10000,3,FALSE),"  "),"")</f>
        <v xml:space="preserve">  </v>
      </c>
      <c r="E80" s="22" t="str">
        <f>IFERROR(IF(A80&gt;0,VLOOKUP(A80,[1]frente!A$3:F$10000,4,FALSE),"  "),"")</f>
        <v xml:space="preserve">  </v>
      </c>
      <c r="F80" s="218" t="str">
        <f t="shared" si="4"/>
        <v xml:space="preserve"> </v>
      </c>
      <c r="G80" s="22" t="str">
        <f t="shared" si="5"/>
        <v xml:space="preserve"> </v>
      </c>
      <c r="J80" s="247" t="str">
        <f>IFERROR(IF(A80&gt;0,VLOOKUP(A80,[1]frente!A$3:E$10000,5,FALSE)*B80,"  "),"")</f>
        <v xml:space="preserve">  </v>
      </c>
    </row>
    <row r="81" spans="1:10" ht="17.399999999999999" x14ac:dyDescent="0.3">
      <c r="A81" s="260"/>
      <c r="B81" s="264"/>
      <c r="C81" s="233" t="str">
        <f>IFERROR(IF(A81&gt;0,VLOOKUP(A81,[1]frente!A$3:E$10000,2,FALSE),"  "),"")</f>
        <v xml:space="preserve">  </v>
      </c>
      <c r="D81" s="218" t="str">
        <f>IFERROR(IF(A81&gt;0,VLOOKUP(A81,[1]frente!A$3:F$10000,3,FALSE),"  "),"")</f>
        <v xml:space="preserve">  </v>
      </c>
      <c r="E81" s="22" t="str">
        <f>IFERROR(IF(A81&gt;0,VLOOKUP(A81,[1]frente!A$3:F$10000,4,FALSE),"  "),"")</f>
        <v xml:space="preserve">  </v>
      </c>
      <c r="F81" s="218" t="str">
        <f t="shared" si="4"/>
        <v xml:space="preserve"> </v>
      </c>
      <c r="G81" s="22" t="str">
        <f t="shared" si="5"/>
        <v xml:space="preserve"> </v>
      </c>
      <c r="J81" s="247" t="str">
        <f>IFERROR(IF(A81&gt;0,VLOOKUP(A81,[1]frente!A$3:E$10000,5,FALSE)*B81,"  "),"")</f>
        <v xml:space="preserve">  </v>
      </c>
    </row>
    <row r="82" spans="1:10" ht="17.399999999999999" x14ac:dyDescent="0.3">
      <c r="A82" s="260"/>
      <c r="B82" s="264"/>
      <c r="C82" s="233" t="str">
        <f>IFERROR(IF(A82&gt;0,VLOOKUP(A82,[1]frente!A$3:E$10000,2,FALSE),"  "),"")</f>
        <v xml:space="preserve">  </v>
      </c>
      <c r="D82" s="218" t="str">
        <f>IFERROR(IF(A82&gt;0,VLOOKUP(A82,[1]frente!A$3:F$10000,3,FALSE),"  "),"")</f>
        <v xml:space="preserve">  </v>
      </c>
      <c r="E82" s="22" t="str">
        <f>IFERROR(IF(A82&gt;0,VLOOKUP(A82,[1]frente!A$3:F$10000,4,FALSE),"  "),"")</f>
        <v xml:space="preserve">  </v>
      </c>
      <c r="F82" s="218" t="str">
        <f t="shared" si="4"/>
        <v xml:space="preserve"> </v>
      </c>
      <c r="G82" s="22" t="str">
        <f t="shared" si="5"/>
        <v xml:space="preserve"> </v>
      </c>
      <c r="J82" s="247" t="str">
        <f>IFERROR(IF(A82&gt;0,VLOOKUP(A82,[1]frente!A$3:E$10000,5,FALSE)*B82,"  "),"")</f>
        <v xml:space="preserve">  </v>
      </c>
    </row>
    <row r="83" spans="1:10" ht="17.399999999999999" x14ac:dyDescent="0.3">
      <c r="A83" s="260"/>
      <c r="B83" s="264"/>
      <c r="C83" s="233" t="str">
        <f>IFERROR(IF(A83&gt;0,VLOOKUP(A83,[1]frente!A$3:E$10000,2,FALSE),"  "),"")</f>
        <v xml:space="preserve">  </v>
      </c>
      <c r="D83" s="218" t="str">
        <f>IFERROR(IF(A83&gt;0,VLOOKUP(A83,[1]frente!A$3:F$10000,3,FALSE),"  "),"")</f>
        <v xml:space="preserve">  </v>
      </c>
      <c r="E83" s="22" t="str">
        <f>IFERROR(IF(A83&gt;0,VLOOKUP(A83,[1]frente!A$3:F$10000,4,FALSE),"  "),"")</f>
        <v xml:space="preserve">  </v>
      </c>
      <c r="F83" s="218" t="str">
        <f t="shared" si="4"/>
        <v xml:space="preserve"> </v>
      </c>
      <c r="G83" s="22" t="str">
        <f t="shared" si="5"/>
        <v xml:space="preserve"> </v>
      </c>
      <c r="J83" s="247" t="str">
        <f>IFERROR(IF(A83&gt;0,VLOOKUP(A83,[1]frente!A$3:E$10000,5,FALSE)*B83,"  "),"")</f>
        <v xml:space="preserve">  </v>
      </c>
    </row>
    <row r="84" spans="1:10" ht="17.399999999999999" x14ac:dyDescent="0.3">
      <c r="A84" s="260"/>
      <c r="B84" s="264"/>
      <c r="C84" s="233" t="str">
        <f>IFERROR(IF(A84&gt;0,VLOOKUP(A84,[1]frente!A$3:E$10000,2,FALSE),"  "),"")</f>
        <v xml:space="preserve">  </v>
      </c>
      <c r="D84" s="218" t="str">
        <f>IFERROR(IF(A84&gt;0,VLOOKUP(A84,[1]frente!A$3:F$10000,3,FALSE),"  "),"")</f>
        <v xml:space="preserve">  </v>
      </c>
      <c r="E84" s="22" t="str">
        <f>IFERROR(IF(A84&gt;0,VLOOKUP(A84,[1]frente!A$3:F$10000,4,FALSE),"  "),"")</f>
        <v xml:space="preserve">  </v>
      </c>
      <c r="F84" s="218" t="str">
        <f t="shared" si="4"/>
        <v xml:space="preserve"> </v>
      </c>
      <c r="G84" s="22" t="str">
        <f t="shared" si="5"/>
        <v xml:space="preserve"> </v>
      </c>
      <c r="J84" s="247" t="str">
        <f>IFERROR(IF(A84&gt;0,VLOOKUP(A84,[1]frente!A$3:E$10000,5,FALSE)*B84,"  "),"")</f>
        <v xml:space="preserve">  </v>
      </c>
    </row>
    <row r="85" spans="1:10" ht="17.399999999999999" x14ac:dyDescent="0.3">
      <c r="A85" s="260"/>
      <c r="B85" s="264"/>
      <c r="C85" s="233" t="str">
        <f>IFERROR(IF(A85&gt;0,VLOOKUP(A85,[1]frente!A$3:E$10000,2,FALSE),"  "),"")</f>
        <v xml:space="preserve">  </v>
      </c>
      <c r="D85" s="218" t="str">
        <f>IFERROR(IF(A85&gt;0,VLOOKUP(A85,[1]frente!A$3:F$10000,3,FALSE),"  "),"")</f>
        <v xml:space="preserve">  </v>
      </c>
      <c r="E85" s="22" t="str">
        <f>IFERROR(IF(A85&gt;0,VLOOKUP(A85,[1]frente!A$3:F$10000,4,FALSE),"  "),"")</f>
        <v xml:space="preserve">  </v>
      </c>
      <c r="F85" s="218" t="str">
        <f t="shared" si="4"/>
        <v xml:space="preserve"> </v>
      </c>
      <c r="G85" s="22" t="str">
        <f t="shared" si="5"/>
        <v xml:space="preserve"> </v>
      </c>
      <c r="J85" s="247" t="str">
        <f>IFERROR(IF(A85&gt;0,VLOOKUP(A85,[1]frente!A$3:E$10000,5,FALSE)*B85,"  "),"")</f>
        <v xml:space="preserve">  </v>
      </c>
    </row>
    <row r="86" spans="1:10" ht="17.399999999999999" x14ac:dyDescent="0.3">
      <c r="A86" s="260"/>
      <c r="B86" s="264"/>
      <c r="C86" s="233" t="str">
        <f>IFERROR(IF(A86&gt;0,VLOOKUP(A86,[1]frente!A$3:E$10000,2,FALSE),"  "),"")</f>
        <v xml:space="preserve">  </v>
      </c>
      <c r="D86" s="218" t="str">
        <f>IFERROR(IF(A86&gt;0,VLOOKUP(A86,[1]frente!A$3:F$10000,3,FALSE),"  "),"")</f>
        <v xml:space="preserve">  </v>
      </c>
      <c r="E86" s="22" t="str">
        <f>IFERROR(IF(A86&gt;0,VLOOKUP(A86,[1]frente!A$3:F$10000,4,FALSE),"  "),"")</f>
        <v xml:space="preserve">  </v>
      </c>
      <c r="F86" s="218" t="str">
        <f t="shared" si="4"/>
        <v xml:space="preserve"> </v>
      </c>
      <c r="G86" s="22" t="str">
        <f t="shared" si="5"/>
        <v xml:space="preserve"> </v>
      </c>
      <c r="J86" s="247" t="str">
        <f>IFERROR(IF(A86&gt;0,VLOOKUP(A86,[1]frente!A$3:E$10000,5,FALSE)*B86,"  "),"")</f>
        <v xml:space="preserve">  </v>
      </c>
    </row>
    <row r="87" spans="1:10" ht="17.399999999999999" x14ac:dyDescent="0.3">
      <c r="A87" s="260"/>
      <c r="B87" s="264"/>
      <c r="C87" s="233" t="str">
        <f>IFERROR(IF(A87&gt;0,VLOOKUP(A87,[1]frente!A$3:E$10000,2,FALSE),"  "),"")</f>
        <v xml:space="preserve">  </v>
      </c>
      <c r="D87" s="218" t="str">
        <f>IFERROR(IF(A87&gt;0,VLOOKUP(A87,[1]frente!A$3:F$10000,3,FALSE),"  "),"")</f>
        <v xml:space="preserve">  </v>
      </c>
      <c r="E87" s="22" t="str">
        <f>IFERROR(IF(A87&gt;0,VLOOKUP(A87,[1]frente!A$3:F$10000,4,FALSE),"  "),"")</f>
        <v xml:space="preserve">  </v>
      </c>
      <c r="F87" s="218" t="str">
        <f t="shared" si="4"/>
        <v xml:space="preserve"> </v>
      </c>
      <c r="G87" s="22" t="str">
        <f t="shared" si="5"/>
        <v xml:space="preserve"> </v>
      </c>
      <c r="J87" s="247" t="str">
        <f>IFERROR(IF(A87&gt;0,VLOOKUP(A87,[1]frente!A$3:E$10000,5,FALSE)*B87,"  "),"")</f>
        <v xml:space="preserve">  </v>
      </c>
    </row>
    <row r="88" spans="1:10" ht="17.399999999999999" x14ac:dyDescent="0.3">
      <c r="A88" s="260"/>
      <c r="B88" s="264"/>
      <c r="C88" s="233" t="str">
        <f>IFERROR(IF(A88&gt;0,VLOOKUP(A88,[1]frente!A$3:E$10000,2,FALSE),"  "),"")</f>
        <v xml:space="preserve">  </v>
      </c>
      <c r="D88" s="218" t="str">
        <f>IFERROR(IF(A88&gt;0,VLOOKUP(A88,[1]frente!A$3:F$10000,3,FALSE),"  "),"")</f>
        <v xml:space="preserve">  </v>
      </c>
      <c r="E88" s="22" t="str">
        <f>IFERROR(IF(A88&gt;0,VLOOKUP(A88,[1]frente!A$3:F$10000,4,FALSE),"  "),"")</f>
        <v xml:space="preserve">  </v>
      </c>
      <c r="F88" s="218" t="str">
        <f t="shared" si="4"/>
        <v xml:space="preserve"> </v>
      </c>
      <c r="G88" s="22" t="str">
        <f t="shared" si="5"/>
        <v xml:space="preserve"> </v>
      </c>
      <c r="J88" s="247" t="str">
        <f>IFERROR(IF(A88&gt;0,VLOOKUP(A88,[1]frente!A$3:E$10000,5,FALSE)*B88,"  "),"")</f>
        <v xml:space="preserve">  </v>
      </c>
    </row>
    <row r="89" spans="1:10" ht="17.399999999999999" x14ac:dyDescent="0.3">
      <c r="A89" s="260"/>
      <c r="B89" s="264"/>
      <c r="C89" s="233" t="str">
        <f>IFERROR(IF(A89&gt;0,VLOOKUP(A89,[1]frente!A$3:E$10000,2,FALSE),"  "),"")</f>
        <v xml:space="preserve">  </v>
      </c>
      <c r="D89" s="218" t="str">
        <f>IFERROR(IF(A89&gt;0,VLOOKUP(A89,[1]frente!A$3:F$10000,3,FALSE),"  "),"")</f>
        <v xml:space="preserve">  </v>
      </c>
      <c r="E89" s="22" t="str">
        <f>IFERROR(IF(A89&gt;0,VLOOKUP(A89,[1]frente!A$3:F$10000,4,FALSE),"  "),"")</f>
        <v xml:space="preserve">  </v>
      </c>
      <c r="F89" s="218" t="str">
        <f t="shared" si="4"/>
        <v xml:space="preserve"> </v>
      </c>
      <c r="G89" s="22" t="str">
        <f t="shared" si="5"/>
        <v xml:space="preserve"> </v>
      </c>
      <c r="J89" s="247" t="str">
        <f>IFERROR(IF(A89&gt;0,VLOOKUP(A89,[1]frente!A$3:E$10000,5,FALSE)*B89,"  "),"")</f>
        <v xml:space="preserve">  </v>
      </c>
    </row>
    <row r="90" spans="1:10" ht="17.399999999999999" x14ac:dyDescent="0.3">
      <c r="A90" s="260"/>
      <c r="B90" s="264"/>
      <c r="C90" s="233" t="str">
        <f>IFERROR(IF(A90&gt;0,VLOOKUP(A90,[1]frente!A$3:E$10000,2,FALSE),"  "),"")</f>
        <v xml:space="preserve">  </v>
      </c>
      <c r="D90" s="218" t="str">
        <f>IFERROR(IF(A90&gt;0,VLOOKUP(A90,[1]frente!A$3:F$10000,3,FALSE),"  "),"")</f>
        <v xml:space="preserve">  </v>
      </c>
      <c r="E90" s="22" t="str">
        <f>IFERROR(IF(A90&gt;0,VLOOKUP(A90,[1]frente!A$3:F$10000,4,FALSE),"  "),"")</f>
        <v xml:space="preserve">  </v>
      </c>
      <c r="F90" s="218" t="str">
        <f t="shared" si="4"/>
        <v xml:space="preserve"> </v>
      </c>
      <c r="G90" s="22" t="str">
        <f t="shared" si="5"/>
        <v xml:space="preserve"> </v>
      </c>
      <c r="J90" s="247" t="str">
        <f>IFERROR(IF(A90&gt;0,VLOOKUP(A90,[1]frente!A$3:E$10000,5,FALSE)*B90,"  "),"")</f>
        <v xml:space="preserve">  </v>
      </c>
    </row>
    <row r="91" spans="1:10" ht="17.399999999999999" x14ac:dyDescent="0.3">
      <c r="A91" s="260"/>
      <c r="B91" s="264"/>
      <c r="C91" s="233" t="str">
        <f>IFERROR(IF(A91&gt;0,VLOOKUP(A91,[1]frente!A$3:E$10000,2,FALSE),"  "),"")</f>
        <v xml:space="preserve">  </v>
      </c>
      <c r="D91" s="218" t="str">
        <f>IFERROR(IF(A91&gt;0,VLOOKUP(A91,[1]frente!A$3:F$10000,3,FALSE),"  "),"")</f>
        <v xml:space="preserve">  </v>
      </c>
      <c r="E91" s="22" t="str">
        <f>IFERROR(IF(A91&gt;0,VLOOKUP(A91,[1]frente!A$3:F$10000,4,FALSE),"  "),"")</f>
        <v xml:space="preserve">  </v>
      </c>
      <c r="F91" s="218" t="str">
        <f t="shared" si="4"/>
        <v xml:space="preserve"> </v>
      </c>
      <c r="G91" s="22" t="str">
        <f t="shared" si="5"/>
        <v xml:space="preserve"> </v>
      </c>
      <c r="J91" s="247" t="str">
        <f>IFERROR(IF(A91&gt;0,VLOOKUP(A91,[1]frente!A$3:E$10000,5,FALSE)*B91,"  "),"")</f>
        <v xml:space="preserve">  </v>
      </c>
    </row>
    <row r="92" spans="1:10" ht="17.399999999999999" x14ac:dyDescent="0.3">
      <c r="A92" s="260"/>
      <c r="B92" s="264"/>
      <c r="C92" s="233" t="str">
        <f>IFERROR(IF(A92&gt;0,VLOOKUP(A92,[1]frente!A$3:E$10000,2,FALSE),"  "),"")</f>
        <v xml:space="preserve">  </v>
      </c>
      <c r="D92" s="218" t="str">
        <f>IFERROR(IF(A92&gt;0,VLOOKUP(A92,[1]frente!A$3:F$10000,3,FALSE),"  "),"")</f>
        <v xml:space="preserve">  </v>
      </c>
      <c r="E92" s="22" t="str">
        <f>IFERROR(IF(A92&gt;0,VLOOKUP(A92,[1]frente!A$3:F$10000,4,FALSE),"  "),"")</f>
        <v xml:space="preserve">  </v>
      </c>
      <c r="F92" s="218" t="str">
        <f t="shared" si="4"/>
        <v xml:space="preserve"> </v>
      </c>
      <c r="G92" s="22" t="str">
        <f t="shared" si="5"/>
        <v xml:space="preserve"> </v>
      </c>
      <c r="J92" s="247" t="str">
        <f>IFERROR(IF(A92&gt;0,VLOOKUP(A92,[1]frente!A$3:E$10000,5,FALSE)*B92,"  "),"")</f>
        <v xml:space="preserve">  </v>
      </c>
    </row>
    <row r="93" spans="1:10" ht="17.399999999999999" x14ac:dyDescent="0.3">
      <c r="A93" s="260"/>
      <c r="B93" s="264"/>
      <c r="C93" s="233" t="str">
        <f>IFERROR(IF(A93&gt;0,VLOOKUP(A93,[1]frente!A$3:E$10000,2,FALSE),"  "),"")</f>
        <v xml:space="preserve">  </v>
      </c>
      <c r="D93" s="218" t="str">
        <f>IFERROR(IF(A93&gt;0,VLOOKUP(A93,[1]frente!A$3:F$10000,3,FALSE),"  "),"")</f>
        <v xml:space="preserve">  </v>
      </c>
      <c r="E93" s="22" t="str">
        <f>IFERROR(IF(A93&gt;0,VLOOKUP(A93,[1]frente!A$3:F$10000,4,FALSE),"  "),"")</f>
        <v xml:space="preserve">  </v>
      </c>
      <c r="F93" s="218" t="str">
        <f t="shared" si="4"/>
        <v xml:space="preserve"> </v>
      </c>
      <c r="G93" s="22" t="str">
        <f t="shared" si="5"/>
        <v xml:space="preserve"> </v>
      </c>
      <c r="J93" s="247" t="str">
        <f>IFERROR(IF(A93&gt;0,VLOOKUP(A93,[1]frente!A$3:E$10000,5,FALSE)*B93,"  "),"")</f>
        <v xml:space="preserve">  </v>
      </c>
    </row>
    <row r="94" spans="1:10" ht="17.399999999999999" x14ac:dyDescent="0.3">
      <c r="A94" s="260"/>
      <c r="B94" s="264"/>
      <c r="C94" s="233" t="str">
        <f>IFERROR(IF(A94&gt;0,VLOOKUP(A94,[1]frente!A$3:E$10000,2,FALSE),"  "),"")</f>
        <v xml:space="preserve">  </v>
      </c>
      <c r="D94" s="218" t="str">
        <f>IFERROR(IF(A94&gt;0,VLOOKUP(A94,[1]frente!A$3:F$10000,3,FALSE),"  "),"")</f>
        <v xml:space="preserve">  </v>
      </c>
      <c r="E94" s="22" t="str">
        <f>IFERROR(IF(A94&gt;0,VLOOKUP(A94,[1]frente!A$3:F$10000,4,FALSE),"  "),"")</f>
        <v xml:space="preserve">  </v>
      </c>
      <c r="F94" s="218" t="str">
        <f t="shared" si="4"/>
        <v xml:space="preserve"> </v>
      </c>
      <c r="G94" s="22" t="str">
        <f t="shared" si="5"/>
        <v xml:space="preserve"> </v>
      </c>
      <c r="J94" s="247" t="str">
        <f>IFERROR(IF(A94&gt;0,VLOOKUP(A94,[1]frente!A$3:E$10000,5,FALSE)*B94,"  "),"")</f>
        <v xml:space="preserve">  </v>
      </c>
    </row>
    <row r="95" spans="1:10" ht="17.399999999999999" x14ac:dyDescent="0.3">
      <c r="A95" s="260"/>
      <c r="B95" s="264"/>
      <c r="C95" s="233" t="str">
        <f>IFERROR(IF(A95&gt;0,VLOOKUP(A95,[1]frente!A$3:E$10000,2,FALSE),"  "),"")</f>
        <v xml:space="preserve">  </v>
      </c>
      <c r="D95" s="218" t="str">
        <f>IFERROR(IF(A95&gt;0,VLOOKUP(A95,[1]frente!A$3:F$10000,3,FALSE),"  "),"")</f>
        <v xml:space="preserve">  </v>
      </c>
      <c r="E95" s="22" t="str">
        <f>IFERROR(IF(A95&gt;0,VLOOKUP(A95,[1]frente!A$3:F$10000,4,FALSE),"  "),"")</f>
        <v xml:space="preserve">  </v>
      </c>
      <c r="F95" s="218" t="str">
        <f t="shared" si="4"/>
        <v xml:space="preserve"> </v>
      </c>
      <c r="G95" s="22" t="str">
        <f t="shared" si="5"/>
        <v xml:space="preserve"> </v>
      </c>
      <c r="J95" s="247" t="str">
        <f>IFERROR(IF(A95&gt;0,VLOOKUP(A95,[1]frente!A$3:E$10000,5,FALSE)*B95,"  "),"")</f>
        <v xml:space="preserve">  </v>
      </c>
    </row>
    <row r="96" spans="1:10" ht="17.399999999999999" x14ac:dyDescent="0.3">
      <c r="A96" s="260"/>
      <c r="B96" s="264"/>
      <c r="C96" s="233" t="str">
        <f>IFERROR(IF(A96&gt;0,VLOOKUP(A96,[1]frente!A$3:E$10000,2,FALSE),"  "),"")</f>
        <v xml:space="preserve">  </v>
      </c>
      <c r="D96" s="218" t="str">
        <f>IFERROR(IF(A96&gt;0,VLOOKUP(A96,[1]frente!A$3:F$10000,3,FALSE),"  "),"")</f>
        <v xml:space="preserve">  </v>
      </c>
      <c r="E96" s="22" t="str">
        <f>IFERROR(IF(A96&gt;0,VLOOKUP(A96,[1]frente!A$3:F$10000,4,FALSE),"  "),"")</f>
        <v xml:space="preserve">  </v>
      </c>
      <c r="F96" s="218" t="str">
        <f t="shared" si="4"/>
        <v xml:space="preserve"> </v>
      </c>
      <c r="G96" s="22" t="str">
        <f t="shared" si="5"/>
        <v xml:space="preserve"> </v>
      </c>
      <c r="J96" s="247" t="str">
        <f>IFERROR(IF(A96&gt;0,VLOOKUP(A96,[1]frente!A$3:E$10000,5,FALSE)*B96,"  "),"")</f>
        <v xml:space="preserve">  </v>
      </c>
    </row>
    <row r="97" spans="1:10" ht="17.399999999999999" x14ac:dyDescent="0.3">
      <c r="A97" s="260"/>
      <c r="B97" s="264"/>
      <c r="C97" s="233" t="str">
        <f>IFERROR(IF(A97&gt;0,VLOOKUP(A97,[1]frente!A$3:E$10000,2,FALSE),"  "),"")</f>
        <v xml:space="preserve">  </v>
      </c>
      <c r="D97" s="218" t="str">
        <f>IFERROR(IF(A97&gt;0,VLOOKUP(A97,[1]frente!A$3:F$10000,3,FALSE),"  "),"")</f>
        <v xml:space="preserve">  </v>
      </c>
      <c r="E97" s="22" t="str">
        <f>IFERROR(IF(A97&gt;0,VLOOKUP(A97,[1]frente!A$3:F$10000,4,FALSE),"  "),"")</f>
        <v xml:space="preserve">  </v>
      </c>
      <c r="F97" s="218" t="str">
        <f t="shared" si="4"/>
        <v xml:space="preserve"> </v>
      </c>
      <c r="G97" s="22" t="str">
        <f t="shared" si="5"/>
        <v xml:space="preserve"> </v>
      </c>
      <c r="J97" s="247" t="str">
        <f>IFERROR(IF(A97&gt;0,VLOOKUP(A97,[1]frente!A$3:E$10000,5,FALSE)*B97,"  "),"")</f>
        <v xml:space="preserve">  </v>
      </c>
    </row>
    <row r="98" spans="1:10" ht="17.399999999999999" x14ac:dyDescent="0.3">
      <c r="A98" s="260"/>
      <c r="B98" s="264"/>
      <c r="C98" s="233" t="str">
        <f>IFERROR(IF(A98&gt;0,VLOOKUP(A98,[1]frente!A$3:E$10000,2,FALSE),"  "),"")</f>
        <v xml:space="preserve">  </v>
      </c>
      <c r="D98" s="218" t="str">
        <f>IFERROR(IF(A98&gt;0,VLOOKUP(A98,[1]frente!A$3:F$10000,3,FALSE),"  "),"")</f>
        <v xml:space="preserve">  </v>
      </c>
      <c r="E98" s="22" t="str">
        <f>IFERROR(IF(A98&gt;0,VLOOKUP(A98,[1]frente!A$3:F$10000,4,FALSE),"  "),"")</f>
        <v xml:space="preserve">  </v>
      </c>
      <c r="F98" s="218" t="str">
        <f t="shared" si="4"/>
        <v xml:space="preserve"> </v>
      </c>
      <c r="G98" s="22" t="str">
        <f t="shared" si="5"/>
        <v xml:space="preserve"> </v>
      </c>
      <c r="J98" s="247" t="str">
        <f>IFERROR(IF(A98&gt;0,VLOOKUP(A98,[1]frente!A$3:E$10000,5,FALSE)*B98,"  "),"")</f>
        <v xml:space="preserve">  </v>
      </c>
    </row>
    <row r="99" spans="1:10" ht="17.399999999999999" x14ac:dyDescent="0.3">
      <c r="A99" s="260"/>
      <c r="B99" s="264"/>
      <c r="C99" s="233" t="str">
        <f>IFERROR(IF(A99&gt;0,VLOOKUP(A99,[1]frente!A$3:E$10000,2,FALSE),"  "),"")</f>
        <v xml:space="preserve">  </v>
      </c>
      <c r="D99" s="218" t="str">
        <f>IFERROR(IF(A99&gt;0,VLOOKUP(A99,[1]frente!A$3:F$10000,3,FALSE),"  "),"")</f>
        <v xml:space="preserve">  </v>
      </c>
      <c r="E99" s="22" t="str">
        <f>IFERROR(IF(A99&gt;0,VLOOKUP(A99,[1]frente!A$3:F$10000,4,FALSE),"  "),"")</f>
        <v xml:space="preserve">  </v>
      </c>
      <c r="F99" s="218" t="str">
        <f t="shared" si="4"/>
        <v xml:space="preserve"> </v>
      </c>
      <c r="G99" s="22" t="str">
        <f t="shared" si="5"/>
        <v xml:space="preserve"> </v>
      </c>
      <c r="J99" s="247" t="str">
        <f>IFERROR(IF(A99&gt;0,VLOOKUP(A99,[1]frente!A$3:E$10000,5,FALSE)*B99,"  "),"")</f>
        <v xml:space="preserve">  </v>
      </c>
    </row>
    <row r="100" spans="1:10" ht="17.399999999999999" x14ac:dyDescent="0.3">
      <c r="A100" s="260"/>
      <c r="B100" s="264"/>
      <c r="C100" s="233" t="str">
        <f>IFERROR(IF(A100&gt;0,VLOOKUP(A100,[1]frente!A$3:E$10000,2,FALSE),"  "),"")</f>
        <v xml:space="preserve">  </v>
      </c>
      <c r="D100" s="218" t="str">
        <f>IFERROR(IF(A100&gt;0,VLOOKUP(A100,[1]frente!A$3:F$10000,3,FALSE),"  "),"")</f>
        <v xml:space="preserve">  </v>
      </c>
      <c r="E100" s="22" t="str">
        <f>IFERROR(IF(A100&gt;0,VLOOKUP(A100,[1]frente!A$3:F$10000,4,FALSE),"  "),"")</f>
        <v xml:space="preserve">  </v>
      </c>
      <c r="F100" s="218" t="str">
        <f t="shared" si="4"/>
        <v xml:space="preserve"> </v>
      </c>
      <c r="G100" s="22" t="str">
        <f t="shared" si="5"/>
        <v xml:space="preserve"> </v>
      </c>
      <c r="J100" s="247" t="str">
        <f>IFERROR(IF(A100&gt;0,VLOOKUP(A100,[1]frente!A$3:E$10000,5,FALSE)*B100,"  "),"")</f>
        <v xml:space="preserve">  </v>
      </c>
    </row>
    <row r="101" spans="1:10" ht="17.399999999999999" x14ac:dyDescent="0.3">
      <c r="A101" s="260"/>
      <c r="B101" s="264"/>
      <c r="C101" s="233" t="str">
        <f>IFERROR(IF(A101&gt;0,VLOOKUP(A101,[1]frente!A$3:E$10000,2,FALSE),"  "),"")</f>
        <v xml:space="preserve">  </v>
      </c>
      <c r="D101" s="218" t="str">
        <f>IFERROR(IF(A101&gt;0,VLOOKUP(A101,[1]frente!A$3:F$10000,3,FALSE),"  "),"")</f>
        <v xml:space="preserve">  </v>
      </c>
      <c r="E101" s="22" t="str">
        <f>IFERROR(IF(A101&gt;0,VLOOKUP(A101,[1]frente!A$3:F$10000,4,FALSE),"  "),"")</f>
        <v xml:space="preserve">  </v>
      </c>
      <c r="F101" s="218" t="str">
        <f t="shared" si="4"/>
        <v xml:space="preserve"> </v>
      </c>
      <c r="G101" s="22" t="str">
        <f t="shared" si="5"/>
        <v xml:space="preserve"> </v>
      </c>
      <c r="J101" s="247" t="str">
        <f>IFERROR(IF(A101&gt;0,VLOOKUP(A101,[1]frente!A$3:E$10000,5,FALSE)*B101,"  "),"")</f>
        <v xml:space="preserve">  </v>
      </c>
    </row>
    <row r="102" spans="1:10" ht="17.399999999999999" x14ac:dyDescent="0.3">
      <c r="A102" s="260"/>
      <c r="B102" s="264"/>
      <c r="C102" s="233" t="str">
        <f>IFERROR(IF(A102&gt;0,VLOOKUP(A102,[1]frente!A$3:E$10000,2,FALSE),"  "),"")</f>
        <v xml:space="preserve">  </v>
      </c>
      <c r="D102" s="218" t="str">
        <f>IFERROR(IF(A102&gt;0,VLOOKUP(A102,[1]frente!A$3:F$10000,3,FALSE),"  "),"")</f>
        <v xml:space="preserve">  </v>
      </c>
      <c r="E102" s="22" t="str">
        <f>IFERROR(IF(A102&gt;0,VLOOKUP(A102,[1]frente!A$3:F$10000,4,FALSE),"  "),"")</f>
        <v xml:space="preserve">  </v>
      </c>
      <c r="F102" s="218" t="str">
        <f t="shared" si="4"/>
        <v xml:space="preserve"> </v>
      </c>
      <c r="G102" s="22" t="str">
        <f t="shared" si="5"/>
        <v xml:space="preserve"> </v>
      </c>
      <c r="J102" s="247" t="str">
        <f>IFERROR(IF(A102&gt;0,VLOOKUP(A102,[1]frente!A$3:E$10000,5,FALSE)*B102,"  "),"")</f>
        <v xml:space="preserve">  </v>
      </c>
    </row>
    <row r="103" spans="1:10" ht="17.399999999999999" x14ac:dyDescent="0.3">
      <c r="A103" s="260"/>
      <c r="B103" s="264"/>
      <c r="C103" s="233" t="str">
        <f>IFERROR(IF(A103&gt;0,VLOOKUP(A103,[1]frente!A$3:E$10000,2,FALSE),"  "),"")</f>
        <v xml:space="preserve">  </v>
      </c>
      <c r="D103" s="218" t="str">
        <f>IFERROR(IF(A103&gt;0,VLOOKUP(A103,[1]frente!A$3:F$10000,3,FALSE),"  "),"")</f>
        <v xml:space="preserve">  </v>
      </c>
      <c r="E103" s="22" t="str">
        <f>IFERROR(IF(A103&gt;0,VLOOKUP(A103,[1]frente!A$3:F$10000,4,FALSE),"  "),"")</f>
        <v xml:space="preserve">  </v>
      </c>
      <c r="F103" s="218" t="str">
        <f t="shared" si="4"/>
        <v xml:space="preserve"> </v>
      </c>
      <c r="G103" s="22" t="str">
        <f t="shared" si="5"/>
        <v xml:space="preserve"> </v>
      </c>
      <c r="J103" s="247" t="str">
        <f>IFERROR(IF(A103&gt;0,VLOOKUP(A103,[1]frente!A$3:E$10000,5,FALSE)*B103,"  "),"")</f>
        <v xml:space="preserve">  </v>
      </c>
    </row>
    <row r="104" spans="1:10" ht="17.399999999999999" x14ac:dyDescent="0.3">
      <c r="A104" s="261"/>
      <c r="B104" s="264"/>
      <c r="C104" s="233" t="str">
        <f>IFERROR(IF(A104&gt;0,VLOOKUP(A104,[1]frente!A$3:E$10000,2,FALSE),"  "),"")</f>
        <v xml:space="preserve">  </v>
      </c>
      <c r="D104" s="218" t="str">
        <f>IFERROR(IF(A104&gt;0,VLOOKUP(A104,[1]frente!A$3:F$10000,3,FALSE),"  "),"")</f>
        <v xml:space="preserve">  </v>
      </c>
      <c r="E104" s="22" t="str">
        <f>IFERROR(IF(A104&gt;0,VLOOKUP(A104,[1]frente!A$3:F$10000,4,FALSE),"  "),"")</f>
        <v xml:space="preserve">  </v>
      </c>
      <c r="F104" s="218" t="str">
        <f t="shared" si="4"/>
        <v xml:space="preserve"> </v>
      </c>
      <c r="G104" s="22" t="str">
        <f t="shared" si="5"/>
        <v xml:space="preserve"> </v>
      </c>
      <c r="J104" s="247" t="str">
        <f>IFERROR(IF(A104&gt;0,VLOOKUP(A104,[1]frente!A$3:E$10000,5,FALSE)*B104,"  "),"")</f>
        <v xml:space="preserve">  </v>
      </c>
    </row>
    <row r="105" spans="1:10" ht="17.399999999999999" x14ac:dyDescent="0.3">
      <c r="A105" s="261"/>
      <c r="B105" s="264"/>
      <c r="C105" s="233" t="str">
        <f>IFERROR(IF(A105&gt;0,VLOOKUP(A105,[1]frente!A$3:E$10000,2,FALSE),"  "),"")</f>
        <v xml:space="preserve">  </v>
      </c>
      <c r="D105" s="218" t="str">
        <f>IFERROR(IF(A105&gt;0,VLOOKUP(A105,[1]frente!A$3:F$10000,3,FALSE),"  "),"")</f>
        <v xml:space="preserve">  </v>
      </c>
      <c r="E105" s="22" t="str">
        <f>IFERROR(IF(A105&gt;0,VLOOKUP(A105,[1]frente!A$3:F$10000,4,FALSE),"  "),"")</f>
        <v xml:space="preserve">  </v>
      </c>
      <c r="F105" s="218" t="str">
        <f t="shared" si="4"/>
        <v xml:space="preserve"> </v>
      </c>
      <c r="G105" s="22" t="str">
        <f t="shared" si="5"/>
        <v xml:space="preserve"> </v>
      </c>
      <c r="J105" s="247" t="str">
        <f>IFERROR(IF(A105&gt;0,VLOOKUP(A105,[1]frente!A$3:E$10000,5,FALSE)*B105,"  "),"")</f>
        <v xml:space="preserve">  </v>
      </c>
    </row>
    <row r="106" spans="1:10" ht="17.399999999999999" x14ac:dyDescent="0.3">
      <c r="A106" s="260"/>
      <c r="B106" s="264"/>
      <c r="C106" s="233" t="str">
        <f>IFERROR(IF(A106&gt;0,VLOOKUP(A106,[1]frente!A$3:E$10000,2,FALSE),"  "),"")</f>
        <v xml:space="preserve">  </v>
      </c>
      <c r="D106" s="218" t="str">
        <f>IFERROR(IF(A106&gt;0,VLOOKUP(A106,[1]frente!A$3:F$10000,3,FALSE),"  "),"")</f>
        <v xml:space="preserve">  </v>
      </c>
      <c r="E106" s="22" t="str">
        <f>IFERROR(IF(A106&gt;0,VLOOKUP(A106,[1]frente!A$3:F$10000,4,FALSE),"  "),"")</f>
        <v xml:space="preserve">  </v>
      </c>
      <c r="F106" s="218" t="str">
        <f t="shared" ref="F106:F137" si="6">IFERROR(IF(A106&gt;0,B106*D106," "),"")</f>
        <v xml:space="preserve"> </v>
      </c>
      <c r="G106" s="22" t="str">
        <f t="shared" ref="G106:G137" si="7">IFERROR(IF(A106&gt;0,B106/E106," "),"")</f>
        <v xml:space="preserve"> </v>
      </c>
      <c r="J106" s="247" t="str">
        <f>IFERROR(IF(A106&gt;0,VLOOKUP(A106,[1]frente!A$3:E$10000,5,FALSE)*B106,"  "),"")</f>
        <v xml:space="preserve">  </v>
      </c>
    </row>
    <row r="107" spans="1:10" ht="17.399999999999999" x14ac:dyDescent="0.3">
      <c r="A107" s="260"/>
      <c r="B107" s="264"/>
      <c r="C107" s="233" t="str">
        <f>IFERROR(IF(A107&gt;0,VLOOKUP(A107,[1]frente!A$3:E$10000,2,FALSE),"  "),"")</f>
        <v xml:space="preserve">  </v>
      </c>
      <c r="D107" s="218" t="str">
        <f>IFERROR(IF(A107&gt;0,VLOOKUP(A107,[1]frente!A$3:F$10000,3,FALSE),"  "),"")</f>
        <v xml:space="preserve">  </v>
      </c>
      <c r="E107" s="22" t="str">
        <f>IFERROR(IF(A107&gt;0,VLOOKUP(A107,[1]frente!A$3:F$10000,4,FALSE),"  "),"")</f>
        <v xml:space="preserve">  </v>
      </c>
      <c r="F107" s="218" t="str">
        <f t="shared" si="6"/>
        <v xml:space="preserve"> </v>
      </c>
      <c r="G107" s="22" t="str">
        <f t="shared" si="7"/>
        <v xml:space="preserve"> </v>
      </c>
      <c r="J107" s="247" t="str">
        <f>IFERROR(IF(A107&gt;0,VLOOKUP(A107,[1]frente!A$3:E$10000,5,FALSE)*B107,"  "),"")</f>
        <v xml:space="preserve">  </v>
      </c>
    </row>
    <row r="108" spans="1:10" ht="17.399999999999999" x14ac:dyDescent="0.3">
      <c r="A108" s="260"/>
      <c r="B108" s="264"/>
      <c r="C108" s="233" t="str">
        <f>IFERROR(IF(A108&gt;0,VLOOKUP(A108,[1]frente!A$3:E$10000,2,FALSE),"  "),"")</f>
        <v xml:space="preserve">  </v>
      </c>
      <c r="D108" s="218" t="str">
        <f>IFERROR(IF(A108&gt;0,VLOOKUP(A108,[1]frente!A$3:F$10000,3,FALSE),"  "),"")</f>
        <v xml:space="preserve">  </v>
      </c>
      <c r="E108" s="22" t="str">
        <f>IFERROR(IF(A108&gt;0,VLOOKUP(A108,[1]frente!A$3:F$10000,4,FALSE),"  "),"")</f>
        <v xml:space="preserve">  </v>
      </c>
      <c r="F108" s="218" t="str">
        <f t="shared" si="6"/>
        <v xml:space="preserve"> </v>
      </c>
      <c r="G108" s="22" t="str">
        <f t="shared" si="7"/>
        <v xml:space="preserve"> </v>
      </c>
      <c r="J108" s="247" t="str">
        <f>IFERROR(IF(A108&gt;0,VLOOKUP(A108,[1]frente!A$3:E$10000,5,FALSE)*B108,"  "),"")</f>
        <v xml:space="preserve">  </v>
      </c>
    </row>
    <row r="109" spans="1:10" ht="17.399999999999999" x14ac:dyDescent="0.3">
      <c r="A109" s="260"/>
      <c r="B109" s="264"/>
      <c r="C109" s="233" t="str">
        <f>IFERROR(IF(A109&gt;0,VLOOKUP(A109,[1]frente!A$3:E$10000,2,FALSE),"  "),"")</f>
        <v xml:space="preserve">  </v>
      </c>
      <c r="D109" s="218" t="str">
        <f>IFERROR(IF(A109&gt;0,VLOOKUP(A109,[1]frente!A$3:F$10000,3,FALSE),"  "),"")</f>
        <v xml:space="preserve">  </v>
      </c>
      <c r="E109" s="22" t="str">
        <f>IFERROR(IF(A109&gt;0,VLOOKUP(A109,[1]frente!A$3:F$10000,4,FALSE),"  "),"")</f>
        <v xml:space="preserve">  </v>
      </c>
      <c r="F109" s="218" t="str">
        <f t="shared" si="6"/>
        <v xml:space="preserve"> </v>
      </c>
      <c r="G109" s="22" t="str">
        <f t="shared" si="7"/>
        <v xml:space="preserve"> </v>
      </c>
      <c r="J109" s="247" t="str">
        <f>IFERROR(IF(A109&gt;0,VLOOKUP(A109,[1]frente!A$3:E$10000,5,FALSE)*B109,"  "),"")</f>
        <v xml:space="preserve">  </v>
      </c>
    </row>
    <row r="110" spans="1:10" ht="17.399999999999999" x14ac:dyDescent="0.3">
      <c r="A110" s="260"/>
      <c r="B110" s="264"/>
      <c r="C110" s="233" t="str">
        <f>IFERROR(IF(A110&gt;0,VLOOKUP(A110,[1]frente!A$3:E$10000,2,FALSE),"  "),"")</f>
        <v xml:space="preserve">  </v>
      </c>
      <c r="D110" s="218" t="str">
        <f>IFERROR(IF(A110&gt;0,VLOOKUP(A110,[1]frente!A$3:F$10000,3,FALSE),"  "),"")</f>
        <v xml:space="preserve">  </v>
      </c>
      <c r="E110" s="22" t="str">
        <f>IFERROR(IF(A110&gt;0,VLOOKUP(A110,[1]frente!A$3:F$10000,4,FALSE),"  "),"")</f>
        <v xml:space="preserve">  </v>
      </c>
      <c r="F110" s="218" t="str">
        <f t="shared" si="6"/>
        <v xml:space="preserve"> </v>
      </c>
      <c r="G110" s="22" t="str">
        <f t="shared" si="7"/>
        <v xml:space="preserve"> </v>
      </c>
      <c r="J110" s="247" t="str">
        <f>IFERROR(IF(A110&gt;0,VLOOKUP(A110,[1]frente!A$3:E$10000,5,FALSE)*B110,"  "),"")</f>
        <v xml:space="preserve">  </v>
      </c>
    </row>
    <row r="111" spans="1:10" ht="17.399999999999999" x14ac:dyDescent="0.3">
      <c r="A111" s="260"/>
      <c r="B111" s="264"/>
      <c r="C111" s="233" t="str">
        <f>IFERROR(IF(A111&gt;0,VLOOKUP(A111,[1]frente!A$3:E$10000,2,FALSE),"  "),"")</f>
        <v xml:space="preserve">  </v>
      </c>
      <c r="D111" s="218" t="str">
        <f>IFERROR(IF(A111&gt;0,VLOOKUP(A111,[1]frente!A$3:F$10000,3,FALSE),"  "),"")</f>
        <v xml:space="preserve">  </v>
      </c>
      <c r="E111" s="22" t="str">
        <f>IFERROR(IF(A111&gt;0,VLOOKUP(A111,[1]frente!A$3:F$10000,4,FALSE),"  "),"")</f>
        <v xml:space="preserve">  </v>
      </c>
      <c r="F111" s="218" t="str">
        <f t="shared" si="6"/>
        <v xml:space="preserve"> </v>
      </c>
      <c r="G111" s="22" t="str">
        <f t="shared" si="7"/>
        <v xml:space="preserve"> </v>
      </c>
      <c r="J111" s="247" t="str">
        <f>IFERROR(IF(A111&gt;0,VLOOKUP(A111,[1]frente!A$3:E$10000,5,FALSE)*B111,"  "),"")</f>
        <v xml:space="preserve">  </v>
      </c>
    </row>
    <row r="112" spans="1:10" ht="17.399999999999999" x14ac:dyDescent="0.3">
      <c r="A112" s="260"/>
      <c r="B112" s="264"/>
      <c r="C112" s="233" t="str">
        <f>IFERROR(IF(A112&gt;0,VLOOKUP(A112,[1]frente!A$3:E$10000,2,FALSE),"  "),"")</f>
        <v xml:space="preserve">  </v>
      </c>
      <c r="D112" s="218" t="str">
        <f>IFERROR(IF(A112&gt;0,VLOOKUP(A112,[1]frente!A$3:F$10000,3,FALSE),"  "),"")</f>
        <v xml:space="preserve">  </v>
      </c>
      <c r="E112" s="22" t="str">
        <f>IFERROR(IF(A112&gt;0,VLOOKUP(A112,[1]frente!A$3:F$10000,4,FALSE),"  "),"")</f>
        <v xml:space="preserve">  </v>
      </c>
      <c r="F112" s="218" t="str">
        <f t="shared" si="6"/>
        <v xml:space="preserve"> </v>
      </c>
      <c r="G112" s="22" t="str">
        <f t="shared" si="7"/>
        <v xml:space="preserve"> </v>
      </c>
      <c r="J112" s="247" t="str">
        <f>IFERROR(IF(A112&gt;0,VLOOKUP(A112,[1]frente!A$3:E$10000,5,FALSE)*B112,"  "),"")</f>
        <v xml:space="preserve">  </v>
      </c>
    </row>
    <row r="113" spans="1:10" ht="17.399999999999999" x14ac:dyDescent="0.3">
      <c r="A113" s="260"/>
      <c r="B113" s="264"/>
      <c r="C113" s="233" t="str">
        <f>IFERROR(IF(A113&gt;0,VLOOKUP(A113,[1]frente!A$3:E$10000,2,FALSE),"  "),"")</f>
        <v xml:space="preserve">  </v>
      </c>
      <c r="D113" s="218" t="str">
        <f>IFERROR(IF(A113&gt;0,VLOOKUP(A113,[1]frente!A$3:F$10000,3,FALSE),"  "),"")</f>
        <v xml:space="preserve">  </v>
      </c>
      <c r="E113" s="22" t="str">
        <f>IFERROR(IF(A113&gt;0,VLOOKUP(A113,[1]frente!A$3:F$10000,4,FALSE),"  "),"")</f>
        <v xml:space="preserve">  </v>
      </c>
      <c r="F113" s="218" t="str">
        <f t="shared" si="6"/>
        <v xml:space="preserve"> </v>
      </c>
      <c r="G113" s="22" t="str">
        <f t="shared" si="7"/>
        <v xml:space="preserve"> </v>
      </c>
      <c r="J113" s="247" t="str">
        <f>IFERROR(IF(A113&gt;0,VLOOKUP(A113,[1]frente!A$3:E$10000,5,FALSE)*B113,"  "),"")</f>
        <v xml:space="preserve">  </v>
      </c>
    </row>
    <row r="114" spans="1:10" ht="17.399999999999999" x14ac:dyDescent="0.3">
      <c r="A114" s="260"/>
      <c r="B114" s="264"/>
      <c r="C114" s="233" t="str">
        <f>IFERROR(IF(A114&gt;0,VLOOKUP(A114,[1]frente!A$3:E$10000,2,FALSE),"  "),"")</f>
        <v xml:space="preserve">  </v>
      </c>
      <c r="D114" s="218" t="str">
        <f>IFERROR(IF(A114&gt;0,VLOOKUP(A114,[1]frente!A$3:F$10000,3,FALSE),"  "),"")</f>
        <v xml:space="preserve">  </v>
      </c>
      <c r="E114" s="22" t="str">
        <f>IFERROR(IF(A114&gt;0,VLOOKUP(A114,[1]frente!A$3:F$10000,4,FALSE),"  "),"")</f>
        <v xml:space="preserve">  </v>
      </c>
      <c r="F114" s="218" t="str">
        <f t="shared" si="6"/>
        <v xml:space="preserve"> </v>
      </c>
      <c r="G114" s="22" t="str">
        <f t="shared" si="7"/>
        <v xml:space="preserve"> </v>
      </c>
      <c r="J114" s="247" t="str">
        <f>IFERROR(IF(A114&gt;0,VLOOKUP(A114,[1]frente!A$3:E$10000,5,FALSE)*B114,"  "),"")</f>
        <v xml:space="preserve">  </v>
      </c>
    </row>
    <row r="115" spans="1:10" ht="17.399999999999999" x14ac:dyDescent="0.3">
      <c r="A115" s="260"/>
      <c r="B115" s="264"/>
      <c r="C115" s="233" t="str">
        <f>IFERROR(IF(A115&gt;0,VLOOKUP(A115,[1]frente!A$3:E$10000,2,FALSE),"  "),"")</f>
        <v xml:space="preserve">  </v>
      </c>
      <c r="D115" s="218" t="str">
        <f>IFERROR(IF(A115&gt;0,VLOOKUP(A115,[1]frente!A$3:F$10000,3,FALSE),"  "),"")</f>
        <v xml:space="preserve">  </v>
      </c>
      <c r="E115" s="22" t="str">
        <f>IFERROR(IF(A115&gt;0,VLOOKUP(A115,[1]frente!A$3:F$10000,4,FALSE),"  "),"")</f>
        <v xml:space="preserve">  </v>
      </c>
      <c r="F115" s="218" t="str">
        <f t="shared" si="6"/>
        <v xml:space="preserve"> </v>
      </c>
      <c r="G115" s="22" t="str">
        <f t="shared" si="7"/>
        <v xml:space="preserve"> </v>
      </c>
      <c r="J115" s="247" t="str">
        <f>IFERROR(IF(A115&gt;0,VLOOKUP(A115,[1]frente!A$3:E$10000,5,FALSE)*B115,"  "),"")</f>
        <v xml:space="preserve">  </v>
      </c>
    </row>
    <row r="116" spans="1:10" ht="17.399999999999999" x14ac:dyDescent="0.3">
      <c r="A116" s="260"/>
      <c r="B116" s="264"/>
      <c r="C116" s="233" t="str">
        <f>IFERROR(IF(A116&gt;0,VLOOKUP(A116,[1]frente!A$3:E$10000,2,FALSE),"  "),"")</f>
        <v xml:space="preserve">  </v>
      </c>
      <c r="D116" s="218" t="str">
        <f>IFERROR(IF(A116&gt;0,VLOOKUP(A116,[1]frente!A$3:F$10000,3,FALSE),"  "),"")</f>
        <v xml:space="preserve">  </v>
      </c>
      <c r="E116" s="22" t="str">
        <f>IFERROR(IF(A116&gt;0,VLOOKUP(A116,[1]frente!A$3:F$10000,4,FALSE),"  "),"")</f>
        <v xml:space="preserve">  </v>
      </c>
      <c r="F116" s="218" t="str">
        <f t="shared" si="6"/>
        <v xml:space="preserve"> </v>
      </c>
      <c r="G116" s="22" t="str">
        <f t="shared" si="7"/>
        <v xml:space="preserve"> </v>
      </c>
      <c r="J116" s="247" t="str">
        <f>IFERROR(IF(A116&gt;0,VLOOKUP(A116,[1]frente!A$3:E$10000,5,FALSE)*B116,"  "),"")</f>
        <v xml:space="preserve">  </v>
      </c>
    </row>
    <row r="117" spans="1:10" ht="17.399999999999999" x14ac:dyDescent="0.3">
      <c r="A117" s="260"/>
      <c r="B117" s="264"/>
      <c r="C117" s="233" t="str">
        <f>IFERROR(IF(A117&gt;0,VLOOKUP(A117,[1]frente!A$3:E$10000,2,FALSE),"  "),"")</f>
        <v xml:space="preserve">  </v>
      </c>
      <c r="D117" s="218" t="str">
        <f>IFERROR(IF(A117&gt;0,VLOOKUP(A117,[1]frente!A$3:F$10000,3,FALSE),"  "),"")</f>
        <v xml:space="preserve">  </v>
      </c>
      <c r="E117" s="22" t="str">
        <f>IFERROR(IF(A117&gt;0,VLOOKUP(A117,[1]frente!A$3:F$10000,4,FALSE),"  "),"")</f>
        <v xml:space="preserve">  </v>
      </c>
      <c r="F117" s="218" t="str">
        <f t="shared" si="6"/>
        <v xml:space="preserve"> </v>
      </c>
      <c r="G117" s="22" t="str">
        <f t="shared" si="7"/>
        <v xml:space="preserve"> </v>
      </c>
      <c r="J117" s="247" t="str">
        <f>IFERROR(IF(A117&gt;0,VLOOKUP(A117,[1]frente!A$3:E$10000,5,FALSE)*B117,"  "),"")</f>
        <v xml:space="preserve">  </v>
      </c>
    </row>
    <row r="118" spans="1:10" ht="17.399999999999999" x14ac:dyDescent="0.3">
      <c r="A118" s="260"/>
      <c r="B118" s="264"/>
      <c r="C118" s="233" t="str">
        <f>IFERROR(IF(A118&gt;0,VLOOKUP(A118,[1]frente!A$3:E$10000,2,FALSE),"  "),"")</f>
        <v xml:space="preserve">  </v>
      </c>
      <c r="D118" s="218" t="str">
        <f>IFERROR(IF(A118&gt;0,VLOOKUP(A118,[1]frente!A$3:F$10000,3,FALSE),"  "),"")</f>
        <v xml:space="preserve">  </v>
      </c>
      <c r="E118" s="22" t="str">
        <f>IFERROR(IF(A118&gt;0,VLOOKUP(A118,[1]frente!A$3:F$10000,4,FALSE),"  "),"")</f>
        <v xml:space="preserve">  </v>
      </c>
      <c r="F118" s="218" t="str">
        <f t="shared" si="6"/>
        <v xml:space="preserve"> </v>
      </c>
      <c r="G118" s="22" t="str">
        <f t="shared" si="7"/>
        <v xml:space="preserve"> </v>
      </c>
      <c r="J118" s="247" t="str">
        <f>IFERROR(IF(A118&gt;0,VLOOKUP(A118,[1]frente!A$3:E$10000,5,FALSE)*B118,"  "),"")</f>
        <v xml:space="preserve">  </v>
      </c>
    </row>
    <row r="119" spans="1:10" ht="17.399999999999999" x14ac:dyDescent="0.3">
      <c r="A119" s="260"/>
      <c r="B119" s="264"/>
      <c r="C119" s="233" t="str">
        <f>IFERROR(IF(A119&gt;0,VLOOKUP(A119,[1]frente!A$3:E$10000,2,FALSE),"  "),"")</f>
        <v xml:space="preserve">  </v>
      </c>
      <c r="D119" s="218" t="str">
        <f>IFERROR(IF(A119&gt;0,VLOOKUP(A119,[1]frente!A$3:F$10000,3,FALSE),"  "),"")</f>
        <v xml:space="preserve">  </v>
      </c>
      <c r="E119" s="22" t="str">
        <f>IFERROR(IF(A119&gt;0,VLOOKUP(A119,[1]frente!A$3:F$10000,4,FALSE),"  "),"")</f>
        <v xml:space="preserve">  </v>
      </c>
      <c r="F119" s="218" t="str">
        <f t="shared" si="6"/>
        <v xml:space="preserve"> </v>
      </c>
      <c r="G119" s="22" t="str">
        <f t="shared" si="7"/>
        <v xml:space="preserve"> </v>
      </c>
      <c r="J119" s="247" t="str">
        <f>IFERROR(IF(A119&gt;0,VLOOKUP(A119,[1]frente!A$3:E$10000,5,FALSE)*B119,"  "),"")</f>
        <v xml:space="preserve">  </v>
      </c>
    </row>
    <row r="120" spans="1:10" ht="17.399999999999999" x14ac:dyDescent="0.3">
      <c r="A120" s="260"/>
      <c r="B120" s="264"/>
      <c r="C120" s="233" t="str">
        <f>IFERROR(IF(A120&gt;0,VLOOKUP(A120,[1]frente!A$3:E$10000,2,FALSE),"  "),"")</f>
        <v xml:space="preserve">  </v>
      </c>
      <c r="D120" s="218" t="str">
        <f>IFERROR(IF(A120&gt;0,VLOOKUP(A120,[1]frente!A$3:F$10000,3,FALSE),"  "),"")</f>
        <v xml:space="preserve">  </v>
      </c>
      <c r="E120" s="22" t="str">
        <f>IFERROR(IF(A120&gt;0,VLOOKUP(A120,[1]frente!A$3:F$10000,4,FALSE),"  "),"")</f>
        <v xml:space="preserve">  </v>
      </c>
      <c r="F120" s="218" t="str">
        <f t="shared" si="6"/>
        <v xml:space="preserve"> </v>
      </c>
      <c r="G120" s="22" t="str">
        <f t="shared" si="7"/>
        <v xml:space="preserve"> </v>
      </c>
      <c r="J120" s="247" t="str">
        <f>IFERROR(IF(A120&gt;0,VLOOKUP(A120,[1]frente!A$3:E$10000,5,FALSE)*B120,"  "),"")</f>
        <v xml:space="preserve">  </v>
      </c>
    </row>
    <row r="121" spans="1:10" ht="17.399999999999999" x14ac:dyDescent="0.3">
      <c r="A121" s="260"/>
      <c r="B121" s="264"/>
      <c r="C121" s="233" t="str">
        <f>IFERROR(IF(A121&gt;0,VLOOKUP(A121,[1]frente!A$3:E$10000,2,FALSE),"  "),"")</f>
        <v xml:space="preserve">  </v>
      </c>
      <c r="D121" s="218" t="str">
        <f>IFERROR(IF(A121&gt;0,VLOOKUP(A121,[1]frente!A$3:F$10000,3,FALSE),"  "),"")</f>
        <v xml:space="preserve">  </v>
      </c>
      <c r="E121" s="22" t="str">
        <f>IFERROR(IF(A121&gt;0,VLOOKUP(A121,[1]frente!A$3:F$10000,4,FALSE),"  "),"")</f>
        <v xml:space="preserve">  </v>
      </c>
      <c r="F121" s="218" t="str">
        <f t="shared" si="6"/>
        <v xml:space="preserve"> </v>
      </c>
      <c r="G121" s="22" t="str">
        <f t="shared" si="7"/>
        <v xml:space="preserve"> </v>
      </c>
      <c r="J121" s="247" t="str">
        <f>IFERROR(IF(A121&gt;0,VLOOKUP(A121,[1]frente!A$3:E$10000,5,FALSE)*B121,"  "),"")</f>
        <v xml:space="preserve">  </v>
      </c>
    </row>
    <row r="122" spans="1:10" ht="17.399999999999999" x14ac:dyDescent="0.3">
      <c r="A122" s="260"/>
      <c r="B122" s="264"/>
      <c r="C122" s="233" t="str">
        <f>IFERROR(IF(A122&gt;0,VLOOKUP(A122,[1]frente!A$3:E$10000,2,FALSE),"  "),"")</f>
        <v xml:space="preserve">  </v>
      </c>
      <c r="D122" s="218" t="str">
        <f>IFERROR(IF(A122&gt;0,VLOOKUP(A122,[1]frente!A$3:F$10000,3,FALSE),"  "),"")</f>
        <v xml:space="preserve">  </v>
      </c>
      <c r="E122" s="22" t="str">
        <f>IFERROR(IF(A122&gt;0,VLOOKUP(A122,[1]frente!A$3:F$10000,4,FALSE),"  "),"")</f>
        <v xml:space="preserve">  </v>
      </c>
      <c r="F122" s="218" t="str">
        <f t="shared" si="6"/>
        <v xml:space="preserve"> </v>
      </c>
      <c r="G122" s="22" t="str">
        <f t="shared" si="7"/>
        <v xml:space="preserve"> </v>
      </c>
      <c r="J122" s="247" t="str">
        <f>IFERROR(IF(A122&gt;0,VLOOKUP(A122,[1]frente!A$3:E$10000,5,FALSE)*B122,"  "),"")</f>
        <v xml:space="preserve">  </v>
      </c>
    </row>
    <row r="123" spans="1:10" ht="17.399999999999999" x14ac:dyDescent="0.3">
      <c r="A123" s="260"/>
      <c r="B123" s="264"/>
      <c r="C123" s="233" t="str">
        <f>IFERROR(IF(A123&gt;0,VLOOKUP(A123,[1]frente!A$3:E$10000,2,FALSE),"  "),"")</f>
        <v xml:space="preserve">  </v>
      </c>
      <c r="D123" s="218" t="str">
        <f>IFERROR(IF(A123&gt;0,VLOOKUP(A123,[1]frente!A$3:F$10000,3,FALSE),"  "),"")</f>
        <v xml:space="preserve">  </v>
      </c>
      <c r="E123" s="22" t="str">
        <f>IFERROR(IF(A123&gt;0,VLOOKUP(A123,[1]frente!A$3:F$10000,4,FALSE),"  "),"")</f>
        <v xml:space="preserve">  </v>
      </c>
      <c r="F123" s="218" t="str">
        <f t="shared" si="6"/>
        <v xml:space="preserve"> </v>
      </c>
      <c r="G123" s="22" t="str">
        <f t="shared" si="7"/>
        <v xml:space="preserve"> </v>
      </c>
      <c r="J123" s="247" t="str">
        <f>IFERROR(IF(A123&gt;0,VLOOKUP(A123,[1]frente!A$3:E$10000,5,FALSE)*B123,"  "),"")</f>
        <v xml:space="preserve">  </v>
      </c>
    </row>
    <row r="124" spans="1:10" ht="17.399999999999999" x14ac:dyDescent="0.3">
      <c r="A124" s="269"/>
      <c r="B124" s="264"/>
      <c r="C124" s="233" t="str">
        <f>IFERROR(IF(A124&gt;0,VLOOKUP(A124,[1]frente!A$3:E$10000,2,FALSE),"  "),"")</f>
        <v xml:space="preserve">  </v>
      </c>
      <c r="D124" s="218" t="str">
        <f>IFERROR(IF(A124&gt;0,VLOOKUP(A124,[1]frente!A$3:F$10000,3,FALSE),"  "),"")</f>
        <v xml:space="preserve">  </v>
      </c>
      <c r="E124" s="22" t="str">
        <f>IFERROR(IF(A124&gt;0,VLOOKUP(A124,[1]frente!A$3:F$10000,4,FALSE),"  "),"")</f>
        <v xml:space="preserve">  </v>
      </c>
      <c r="F124" s="218" t="str">
        <f t="shared" si="6"/>
        <v xml:space="preserve"> </v>
      </c>
      <c r="G124" s="22" t="str">
        <f t="shared" si="7"/>
        <v xml:space="preserve"> </v>
      </c>
      <c r="J124" s="247" t="str">
        <f>IFERROR(IF(A124&gt;0,VLOOKUP(A124,[1]frente!A$3:E$10000,5,FALSE)*B124,"  "),"")</f>
        <v xml:space="preserve">  </v>
      </c>
    </row>
    <row r="125" spans="1:10" ht="18" thickBot="1" x14ac:dyDescent="0.35">
      <c r="A125" s="270"/>
      <c r="B125" s="264"/>
      <c r="C125" s="233" t="str">
        <f>IFERROR(IF(A125&gt;0,VLOOKUP(A125,[1]frente!A$3:E$10000,2,FALSE),"  "),"")</f>
        <v xml:space="preserve">  </v>
      </c>
      <c r="D125" s="218" t="str">
        <f>IFERROR(IF(A125&gt;0,VLOOKUP(A125,[1]frente!A$3:F$10000,3,FALSE),"  "),"")</f>
        <v xml:space="preserve">  </v>
      </c>
      <c r="E125" s="22" t="str">
        <f>IFERROR(IF(A125&gt;0,VLOOKUP(A125,[1]frente!A$3:F$10000,4,FALSE),"  "),"")</f>
        <v xml:space="preserve">  </v>
      </c>
      <c r="F125" s="218" t="str">
        <f t="shared" si="6"/>
        <v xml:space="preserve"> </v>
      </c>
      <c r="G125" s="22" t="str">
        <f t="shared" si="7"/>
        <v xml:space="preserve"> </v>
      </c>
      <c r="J125" s="247" t="str">
        <f>IFERROR(IF(A125&gt;0,VLOOKUP(A125,[1]frente!A$3:E$10000,5,FALSE)*B125,"  "),"")</f>
        <v xml:space="preserve">  </v>
      </c>
    </row>
    <row r="126" spans="1:10" ht="17.399999999999999" x14ac:dyDescent="0.3">
      <c r="A126" s="265"/>
      <c r="B126" s="226"/>
      <c r="C126" s="233" t="str">
        <f>IFERROR(IF(A126&gt;0,VLOOKUP(A126,[1]frente!A$3:E$10000,2,FALSE),"  "),"")</f>
        <v xml:space="preserve">  </v>
      </c>
      <c r="D126" s="218" t="str">
        <f>IFERROR(IF(A126&gt;0,VLOOKUP(A126,[1]frente!A$3:F$10000,3,FALSE),"  "),"")</f>
        <v xml:space="preserve">  </v>
      </c>
      <c r="E126" s="22" t="str">
        <f>IFERROR(IF(A126&gt;0,VLOOKUP(A126,[1]frente!A$3:F$10000,4,FALSE),"  "),"")</f>
        <v xml:space="preserve">  </v>
      </c>
      <c r="F126" s="218" t="str">
        <f t="shared" si="6"/>
        <v xml:space="preserve"> </v>
      </c>
      <c r="G126" s="22" t="str">
        <f t="shared" si="7"/>
        <v xml:space="preserve"> </v>
      </c>
      <c r="J126" s="247" t="str">
        <f>IFERROR(IF(A126&gt;0,VLOOKUP(A126,[1]frente!A$3:E$10000,5,FALSE)*B126,"  "),"")</f>
        <v xml:space="preserve">  </v>
      </c>
    </row>
    <row r="127" spans="1:10" ht="17.399999999999999" x14ac:dyDescent="0.3">
      <c r="A127" s="262"/>
      <c r="B127" s="226"/>
      <c r="C127" s="233" t="str">
        <f>IFERROR(IF(A127&gt;0,VLOOKUP(A127,[1]frente!A$3:E$10000,2,FALSE),"  "),"")</f>
        <v xml:space="preserve">  </v>
      </c>
      <c r="D127" s="218" t="str">
        <f>IFERROR(IF(A127&gt;0,VLOOKUP(A127,[1]frente!A$3:F$10000,3,FALSE),"  "),"")</f>
        <v xml:space="preserve">  </v>
      </c>
      <c r="E127" s="22" t="str">
        <f>IFERROR(IF(A127&gt;0,VLOOKUP(A127,[1]frente!A$3:F$10000,4,FALSE),"  "),"")</f>
        <v xml:space="preserve">  </v>
      </c>
      <c r="F127" s="218" t="str">
        <f t="shared" si="6"/>
        <v xml:space="preserve"> </v>
      </c>
      <c r="G127" s="22" t="str">
        <f t="shared" si="7"/>
        <v xml:space="preserve"> </v>
      </c>
      <c r="J127" s="247" t="str">
        <f>IFERROR(IF(A127&gt;0,VLOOKUP(A127,[1]frente!A$3:E$10000,5,FALSE)*B127,"  "),"")</f>
        <v xml:space="preserve">  </v>
      </c>
    </row>
    <row r="128" spans="1:10" ht="17.399999999999999" x14ac:dyDescent="0.3">
      <c r="A128" s="262"/>
      <c r="B128" s="226"/>
      <c r="C128" s="233" t="str">
        <f>IFERROR(IF(A128&gt;0,VLOOKUP(A128,[1]frente!A$3:E$10000,2,FALSE),"  "),"")</f>
        <v xml:space="preserve">  </v>
      </c>
      <c r="D128" s="218" t="str">
        <f>IFERROR(IF(A128&gt;0,VLOOKUP(A128,[1]frente!A$3:F$10000,3,FALSE),"  "),"")</f>
        <v xml:space="preserve">  </v>
      </c>
      <c r="E128" s="22" t="str">
        <f>IFERROR(IF(A128&gt;0,VLOOKUP(A128,[1]frente!A$3:F$10000,4,FALSE),"  "),"")</f>
        <v xml:space="preserve">  </v>
      </c>
      <c r="F128" s="218" t="str">
        <f t="shared" si="6"/>
        <v xml:space="preserve"> </v>
      </c>
      <c r="G128" s="22" t="str">
        <f t="shared" si="7"/>
        <v xml:space="preserve"> </v>
      </c>
      <c r="J128" s="247" t="str">
        <f>IFERROR(IF(A128&gt;0,VLOOKUP(A128,[1]frente!A$3:E$10000,5,FALSE)*B128,"  "),"")</f>
        <v xml:space="preserve">  </v>
      </c>
    </row>
    <row r="129" spans="1:10" ht="17.399999999999999" x14ac:dyDescent="0.3">
      <c r="A129" s="262"/>
      <c r="B129" s="226"/>
      <c r="C129" s="233" t="str">
        <f>IFERROR(IF(A129&gt;0,VLOOKUP(A129,[1]frente!A$3:E$10000,2,FALSE),"  "),"")</f>
        <v xml:space="preserve">  </v>
      </c>
      <c r="D129" s="218" t="str">
        <f>IFERROR(IF(A129&gt;0,VLOOKUP(A129,[1]frente!A$3:F$10000,3,FALSE),"  "),"")</f>
        <v xml:space="preserve">  </v>
      </c>
      <c r="E129" s="22" t="str">
        <f>IFERROR(IF(A129&gt;0,VLOOKUP(A129,[1]frente!A$3:F$10000,4,FALSE),"  "),"")</f>
        <v xml:space="preserve">  </v>
      </c>
      <c r="F129" s="218" t="str">
        <f t="shared" si="6"/>
        <v xml:space="preserve"> </v>
      </c>
      <c r="G129" s="22" t="str">
        <f t="shared" si="7"/>
        <v xml:space="preserve"> </v>
      </c>
      <c r="J129" s="247" t="str">
        <f>IFERROR(IF(A129&gt;0,VLOOKUP(A129,[1]frente!A$3:E$10000,5,FALSE)*B129,"  "),"")</f>
        <v xml:space="preserve">  </v>
      </c>
    </row>
    <row r="130" spans="1:10" ht="17.399999999999999" x14ac:dyDescent="0.3">
      <c r="A130" s="260"/>
      <c r="B130" s="226"/>
      <c r="C130" s="233" t="str">
        <f>IFERROR(IF(A130&gt;0,VLOOKUP(A130,[1]frente!A$3:E$10000,2,FALSE),"  "),"")</f>
        <v xml:space="preserve">  </v>
      </c>
      <c r="D130" s="218" t="str">
        <f>IFERROR(IF(A130&gt;0,VLOOKUP(A130,[1]frente!A$3:F$10000,3,FALSE),"  "),"")</f>
        <v xml:space="preserve">  </v>
      </c>
      <c r="E130" s="22" t="str">
        <f>IFERROR(IF(A130&gt;0,VLOOKUP(A130,[1]frente!A$3:F$10000,4,FALSE),"  "),"")</f>
        <v xml:space="preserve">  </v>
      </c>
      <c r="F130" s="218" t="str">
        <f t="shared" si="6"/>
        <v xml:space="preserve"> </v>
      </c>
      <c r="G130" s="22" t="str">
        <f t="shared" si="7"/>
        <v xml:space="preserve"> </v>
      </c>
      <c r="J130" s="247" t="str">
        <f>IFERROR(IF(A130&gt;0,VLOOKUP(A130,[1]frente!A$3:E$10000,5,FALSE)*B130,"  "),"")</f>
        <v xml:space="preserve">  </v>
      </c>
    </row>
    <row r="131" spans="1:10" ht="17.399999999999999" x14ac:dyDescent="0.3">
      <c r="A131" s="260"/>
      <c r="B131" s="226"/>
      <c r="C131" s="233" t="str">
        <f>IFERROR(IF(A131&gt;0,VLOOKUP(A131,[1]frente!A$3:E$10000,2,FALSE),"  "),"")</f>
        <v xml:space="preserve">  </v>
      </c>
      <c r="D131" s="218" t="str">
        <f>IFERROR(IF(A131&gt;0,VLOOKUP(A131,[1]frente!A$3:F$10000,3,FALSE),"  "),"")</f>
        <v xml:space="preserve">  </v>
      </c>
      <c r="E131" s="22" t="str">
        <f>IFERROR(IF(A131&gt;0,VLOOKUP(A131,[1]frente!A$3:F$10000,4,FALSE),"  "),"")</f>
        <v xml:space="preserve">  </v>
      </c>
      <c r="F131" s="218" t="str">
        <f t="shared" si="6"/>
        <v xml:space="preserve"> </v>
      </c>
      <c r="G131" s="22" t="str">
        <f t="shared" si="7"/>
        <v xml:space="preserve"> </v>
      </c>
      <c r="J131" s="247" t="str">
        <f>IFERROR(IF(A131&gt;0,VLOOKUP(A131,[1]frente!A$3:E$10000,5,FALSE)*B131,"  "),"")</f>
        <v xml:space="preserve">  </v>
      </c>
    </row>
    <row r="132" spans="1:10" ht="17.399999999999999" x14ac:dyDescent="0.3">
      <c r="A132" s="260"/>
      <c r="B132" s="226"/>
      <c r="C132" s="233" t="str">
        <f>IFERROR(IF(A132&gt;0,VLOOKUP(A132,[1]frente!A$3:E$10000,2,FALSE),"  "),"")</f>
        <v xml:space="preserve">  </v>
      </c>
      <c r="D132" s="218" t="str">
        <f>IFERROR(IF(A132&gt;0,VLOOKUP(A132,[1]frente!A$3:F$10000,3,FALSE),"  "),"")</f>
        <v xml:space="preserve">  </v>
      </c>
      <c r="E132" s="22" t="str">
        <f>IFERROR(IF(A132&gt;0,VLOOKUP(A132,[1]frente!A$3:F$10000,4,FALSE),"  "),"")</f>
        <v xml:space="preserve">  </v>
      </c>
      <c r="F132" s="218" t="str">
        <f t="shared" si="6"/>
        <v xml:space="preserve"> </v>
      </c>
      <c r="G132" s="22" t="str">
        <f t="shared" si="7"/>
        <v xml:space="preserve"> </v>
      </c>
      <c r="J132" s="247" t="str">
        <f>IFERROR(IF(A132&gt;0,VLOOKUP(A132,[1]frente!A$3:E$10000,5,FALSE)*B132,"  "),"")</f>
        <v xml:space="preserve">  </v>
      </c>
    </row>
    <row r="133" spans="1:10" ht="17.399999999999999" x14ac:dyDescent="0.3">
      <c r="A133" s="260"/>
      <c r="B133" s="226"/>
      <c r="C133" s="233" t="str">
        <f>IFERROR(IF(A133&gt;0,VLOOKUP(A133,[1]frente!A$3:E$10000,2,FALSE),"  "),"")</f>
        <v xml:space="preserve">  </v>
      </c>
      <c r="D133" s="218" t="str">
        <f>IFERROR(IF(A133&gt;0,VLOOKUP(A133,[1]frente!A$3:F$10000,3,FALSE),"  "),"")</f>
        <v xml:space="preserve">  </v>
      </c>
      <c r="E133" s="22" t="str">
        <f>IFERROR(IF(A133&gt;0,VLOOKUP(A133,[1]frente!A$3:F$10000,4,FALSE),"  "),"")</f>
        <v xml:space="preserve">  </v>
      </c>
      <c r="F133" s="218" t="str">
        <f t="shared" si="6"/>
        <v xml:space="preserve"> </v>
      </c>
      <c r="G133" s="22" t="str">
        <f t="shared" si="7"/>
        <v xml:space="preserve"> </v>
      </c>
      <c r="J133" s="247" t="str">
        <f>IFERROR(IF(A133&gt;0,VLOOKUP(A133,[1]frente!A$3:E$10000,5,FALSE)*B133,"  "),"")</f>
        <v xml:space="preserve">  </v>
      </c>
    </row>
    <row r="134" spans="1:10" ht="17.399999999999999" x14ac:dyDescent="0.3">
      <c r="A134" s="260"/>
      <c r="B134" s="226"/>
      <c r="C134" s="233" t="str">
        <f>IFERROR(IF(A134&gt;0,VLOOKUP(A134,[1]frente!A$3:E$10000,2,FALSE),"  "),"")</f>
        <v xml:space="preserve">  </v>
      </c>
      <c r="D134" s="218" t="str">
        <f>IFERROR(IF(A134&gt;0,VLOOKUP(A134,[1]frente!A$3:F$10000,3,FALSE),"  "),"")</f>
        <v xml:space="preserve">  </v>
      </c>
      <c r="E134" s="22" t="str">
        <f>IFERROR(IF(A134&gt;0,VLOOKUP(A134,[1]frente!A$3:F$10000,4,FALSE),"  "),"")</f>
        <v xml:space="preserve">  </v>
      </c>
      <c r="F134" s="218" t="str">
        <f t="shared" si="6"/>
        <v xml:space="preserve"> </v>
      </c>
      <c r="G134" s="22" t="str">
        <f t="shared" si="7"/>
        <v xml:space="preserve"> </v>
      </c>
      <c r="J134" s="247" t="str">
        <f>IFERROR(IF(A134&gt;0,VLOOKUP(A134,[1]frente!A$3:E$10000,5,FALSE)*B134,"  "),"")</f>
        <v xml:space="preserve">  </v>
      </c>
    </row>
    <row r="135" spans="1:10" ht="17.399999999999999" x14ac:dyDescent="0.3">
      <c r="A135" s="260"/>
      <c r="B135" s="226"/>
      <c r="C135" s="233" t="str">
        <f>IFERROR(IF(A135&gt;0,VLOOKUP(A135,[1]frente!A$3:E$10000,2,FALSE),"  "),"")</f>
        <v xml:space="preserve">  </v>
      </c>
      <c r="D135" s="218" t="str">
        <f>IFERROR(IF(A135&gt;0,VLOOKUP(A135,[1]frente!A$3:F$10000,3,FALSE),"  "),"")</f>
        <v xml:space="preserve">  </v>
      </c>
      <c r="E135" s="22" t="str">
        <f>IFERROR(IF(A135&gt;0,VLOOKUP(A135,[1]frente!A$3:F$10000,4,FALSE),"  "),"")</f>
        <v xml:space="preserve">  </v>
      </c>
      <c r="F135" s="218" t="str">
        <f t="shared" si="6"/>
        <v xml:space="preserve"> </v>
      </c>
      <c r="G135" s="22" t="str">
        <f t="shared" si="7"/>
        <v xml:space="preserve"> </v>
      </c>
      <c r="J135" s="247" t="str">
        <f>IFERROR(IF(A135&gt;0,VLOOKUP(A135,[1]frente!A$3:E$10000,5,FALSE)*B135,"  "),"")</f>
        <v xml:space="preserve">  </v>
      </c>
    </row>
    <row r="136" spans="1:10" ht="17.399999999999999" x14ac:dyDescent="0.3">
      <c r="A136" s="260"/>
      <c r="B136" s="226"/>
      <c r="C136" s="233" t="str">
        <f>IFERROR(IF(A136&gt;0,VLOOKUP(A136,[1]frente!A$3:E$10000,2,FALSE),"  "),"")</f>
        <v xml:space="preserve">  </v>
      </c>
      <c r="D136" s="218" t="str">
        <f>IFERROR(IF(A136&gt;0,VLOOKUP(A136,[1]frente!A$3:F$10000,3,FALSE),"  "),"")</f>
        <v xml:space="preserve">  </v>
      </c>
      <c r="E136" s="22" t="str">
        <f>IFERROR(IF(A136&gt;0,VLOOKUP(A136,[1]frente!A$3:F$10000,4,FALSE),"  "),"")</f>
        <v xml:space="preserve">  </v>
      </c>
      <c r="F136" s="218" t="str">
        <f t="shared" si="6"/>
        <v xml:space="preserve"> </v>
      </c>
      <c r="G136" s="22" t="str">
        <f t="shared" si="7"/>
        <v xml:space="preserve"> </v>
      </c>
      <c r="J136" s="247" t="str">
        <f>IFERROR(IF(A136&gt;0,VLOOKUP(A136,[1]frente!A$3:E$10000,5,FALSE)*B136,"  "),"")</f>
        <v xml:space="preserve">  </v>
      </c>
    </row>
    <row r="137" spans="1:10" ht="17.399999999999999" x14ac:dyDescent="0.3">
      <c r="A137" s="260"/>
      <c r="B137" s="226"/>
      <c r="C137" s="233" t="str">
        <f>IFERROR(IF(A137&gt;0,VLOOKUP(A137,[1]frente!A$3:E$10000,2,FALSE),"  "),"")</f>
        <v xml:space="preserve">  </v>
      </c>
      <c r="D137" s="218" t="str">
        <f>IFERROR(IF(A137&gt;0,VLOOKUP(A137,[1]frente!A$3:F$10000,3,FALSE),"  "),"")</f>
        <v xml:space="preserve">  </v>
      </c>
      <c r="E137" s="22" t="str">
        <f>IFERROR(IF(A137&gt;0,VLOOKUP(A137,[1]frente!A$3:F$10000,4,FALSE),"  "),"")</f>
        <v xml:space="preserve">  </v>
      </c>
      <c r="F137" s="218" t="str">
        <f t="shared" si="6"/>
        <v xml:space="preserve"> </v>
      </c>
      <c r="G137" s="22" t="str">
        <f t="shared" si="7"/>
        <v xml:space="preserve"> </v>
      </c>
      <c r="J137" s="247" t="str">
        <f>IFERROR(IF(A137&gt;0,VLOOKUP(A137,[1]frente!A$3:E$10000,5,FALSE)*B137,"  "),"")</f>
        <v xml:space="preserve">  </v>
      </c>
    </row>
    <row r="138" spans="1:10" ht="17.399999999999999" x14ac:dyDescent="0.3">
      <c r="A138" s="260"/>
      <c r="B138" s="226"/>
      <c r="C138" s="233" t="str">
        <f>IFERROR(IF(A138&gt;0,VLOOKUP(A138,[1]frente!A$3:E$10000,2,FALSE),"  "),"")</f>
        <v xml:space="preserve">  </v>
      </c>
      <c r="D138" s="218" t="str">
        <f>IFERROR(IF(A138&gt;0,VLOOKUP(A138,[1]frente!A$3:F$10000,3,FALSE),"  "),"")</f>
        <v xml:space="preserve">  </v>
      </c>
      <c r="E138" s="22" t="str">
        <f>IFERROR(IF(A138&gt;0,VLOOKUP(A138,[1]frente!A$3:F$10000,4,FALSE),"  "),"")</f>
        <v xml:space="preserve">  </v>
      </c>
      <c r="F138" s="218" t="str">
        <f t="shared" ref="F138:F169" si="8">IFERROR(IF(A138&gt;0,B138*D138," "),"")</f>
        <v xml:space="preserve"> </v>
      </c>
      <c r="G138" s="22" t="str">
        <f t="shared" ref="G138:G169" si="9">IFERROR(IF(A138&gt;0,B138/E138," "),"")</f>
        <v xml:space="preserve"> </v>
      </c>
      <c r="J138" s="247" t="str">
        <f>IFERROR(IF(A138&gt;0,VLOOKUP(A138,[1]frente!A$3:E$10000,5,FALSE)*B138,"  "),"")</f>
        <v xml:space="preserve">  </v>
      </c>
    </row>
    <row r="139" spans="1:10" ht="17.399999999999999" x14ac:dyDescent="0.3">
      <c r="A139" s="260"/>
      <c r="B139" s="226"/>
      <c r="C139" s="233" t="str">
        <f>IFERROR(IF(A139&gt;0,VLOOKUP(A139,[1]frente!A$3:E$10000,2,FALSE),"  "),"")</f>
        <v xml:space="preserve">  </v>
      </c>
      <c r="D139" s="218" t="str">
        <f>IFERROR(IF(A139&gt;0,VLOOKUP(A139,[1]frente!A$3:F$10000,3,FALSE),"  "),"")</f>
        <v xml:space="preserve">  </v>
      </c>
      <c r="E139" s="22" t="str">
        <f>IFERROR(IF(A139&gt;0,VLOOKUP(A139,[1]frente!A$3:F$10000,4,FALSE),"  "),"")</f>
        <v xml:space="preserve">  </v>
      </c>
      <c r="F139" s="218" t="str">
        <f t="shared" si="8"/>
        <v xml:space="preserve"> </v>
      </c>
      <c r="G139" s="22" t="str">
        <f t="shared" si="9"/>
        <v xml:space="preserve"> </v>
      </c>
      <c r="J139" s="247" t="str">
        <f>IFERROR(IF(A139&gt;0,VLOOKUP(A139,[1]frente!A$3:E$10000,5,FALSE)*B139,"  "),"")</f>
        <v xml:space="preserve">  </v>
      </c>
    </row>
    <row r="140" spans="1:10" ht="17.399999999999999" x14ac:dyDescent="0.3">
      <c r="A140" s="260"/>
      <c r="B140" s="226"/>
      <c r="C140" s="233" t="str">
        <f>IFERROR(IF(A140&gt;0,VLOOKUP(A140,[1]frente!A$3:E$10000,2,FALSE),"  "),"")</f>
        <v xml:space="preserve">  </v>
      </c>
      <c r="D140" s="218" t="str">
        <f>IFERROR(IF(A140&gt;0,VLOOKUP(A140,[1]frente!A$3:F$10000,3,FALSE),"  "),"")</f>
        <v xml:space="preserve">  </v>
      </c>
      <c r="E140" s="22" t="str">
        <f>IFERROR(IF(A140&gt;0,VLOOKUP(A140,[1]frente!A$3:F$10000,4,FALSE),"  "),"")</f>
        <v xml:space="preserve">  </v>
      </c>
      <c r="F140" s="218" t="str">
        <f t="shared" si="8"/>
        <v xml:space="preserve"> </v>
      </c>
      <c r="G140" s="22" t="str">
        <f t="shared" si="9"/>
        <v xml:space="preserve"> </v>
      </c>
      <c r="J140" s="247" t="str">
        <f>IFERROR(IF(A140&gt;0,VLOOKUP(A140,[1]frente!A$3:E$10000,5,FALSE)*B140,"  "),"")</f>
        <v xml:space="preserve">  </v>
      </c>
    </row>
    <row r="141" spans="1:10" ht="17.399999999999999" x14ac:dyDescent="0.3">
      <c r="A141" s="260"/>
      <c r="B141" s="226"/>
      <c r="C141" s="233" t="str">
        <f>IFERROR(IF(A141&gt;0,VLOOKUP(A141,[1]frente!A$3:E$10000,2,FALSE),"  "),"")</f>
        <v xml:space="preserve">  </v>
      </c>
      <c r="D141" s="218" t="str">
        <f>IFERROR(IF(A141&gt;0,VLOOKUP(A141,[1]frente!A$3:F$10000,3,FALSE),"  "),"")</f>
        <v xml:space="preserve">  </v>
      </c>
      <c r="E141" s="22" t="str">
        <f>IFERROR(IF(A141&gt;0,VLOOKUP(A141,[1]frente!A$3:F$10000,4,FALSE),"  "),"")</f>
        <v xml:space="preserve">  </v>
      </c>
      <c r="F141" s="218" t="str">
        <f t="shared" si="8"/>
        <v xml:space="preserve"> </v>
      </c>
      <c r="G141" s="22" t="str">
        <f t="shared" si="9"/>
        <v xml:space="preserve"> </v>
      </c>
      <c r="J141" s="247" t="str">
        <f>IFERROR(IF(A141&gt;0,VLOOKUP(A141,[1]frente!A$3:E$10000,5,FALSE)*B141,"  "),"")</f>
        <v xml:space="preserve">  </v>
      </c>
    </row>
    <row r="142" spans="1:10" ht="17.399999999999999" x14ac:dyDescent="0.3">
      <c r="A142" s="260"/>
      <c r="B142" s="226"/>
      <c r="C142" s="233" t="str">
        <f>IFERROR(IF(A142&gt;0,VLOOKUP(A142,[1]frente!A$3:E$10000,2,FALSE),"  "),"")</f>
        <v xml:space="preserve">  </v>
      </c>
      <c r="D142" s="218" t="str">
        <f>IFERROR(IF(A142&gt;0,VLOOKUP(A142,[1]frente!A$3:F$10000,3,FALSE),"  "),"")</f>
        <v xml:space="preserve">  </v>
      </c>
      <c r="E142" s="22" t="str">
        <f>IFERROR(IF(A142&gt;0,VLOOKUP(A142,[1]frente!A$3:F$10000,4,FALSE),"  "),"")</f>
        <v xml:space="preserve">  </v>
      </c>
      <c r="F142" s="218" t="str">
        <f t="shared" si="8"/>
        <v xml:space="preserve"> </v>
      </c>
      <c r="G142" s="22" t="str">
        <f t="shared" si="9"/>
        <v xml:space="preserve"> </v>
      </c>
      <c r="J142" s="247" t="str">
        <f>IFERROR(IF(A142&gt;0,VLOOKUP(A142,[1]frente!A$3:E$10000,5,FALSE)*B142,"  "),"")</f>
        <v xml:space="preserve">  </v>
      </c>
    </row>
    <row r="143" spans="1:10" ht="17.399999999999999" x14ac:dyDescent="0.3">
      <c r="A143" s="260"/>
      <c r="B143" s="226"/>
      <c r="C143" s="233" t="str">
        <f>IFERROR(IF(A143&gt;0,VLOOKUP(A143,[1]frente!A$3:E$10000,2,FALSE),"  "),"")</f>
        <v xml:space="preserve">  </v>
      </c>
      <c r="D143" s="218" t="str">
        <f>IFERROR(IF(A143&gt;0,VLOOKUP(A143,[1]frente!A$3:F$10000,3,FALSE),"  "),"")</f>
        <v xml:space="preserve">  </v>
      </c>
      <c r="E143" s="22" t="str">
        <f>IFERROR(IF(A143&gt;0,VLOOKUP(A143,[1]frente!A$3:F$10000,4,FALSE),"  "),"")</f>
        <v xml:space="preserve">  </v>
      </c>
      <c r="F143" s="218" t="str">
        <f t="shared" si="8"/>
        <v xml:space="preserve"> </v>
      </c>
      <c r="G143" s="22" t="str">
        <f t="shared" si="9"/>
        <v xml:space="preserve"> </v>
      </c>
      <c r="J143" s="247" t="str">
        <f>IFERROR(IF(A143&gt;0,VLOOKUP(A143,[1]frente!A$3:E$10000,5,FALSE)*B143,"  "),"")</f>
        <v xml:space="preserve">  </v>
      </c>
    </row>
    <row r="144" spans="1:10" ht="17.399999999999999" x14ac:dyDescent="0.3">
      <c r="A144" s="260"/>
      <c r="B144" s="226"/>
      <c r="C144" s="233" t="str">
        <f>IFERROR(IF(A144&gt;0,VLOOKUP(A144,[1]frente!A$3:E$10000,2,FALSE),"  "),"")</f>
        <v xml:space="preserve">  </v>
      </c>
      <c r="D144" s="218" t="str">
        <f>IFERROR(IF(A144&gt;0,VLOOKUP(A144,[1]frente!A$3:F$10000,3,FALSE),"  "),"")</f>
        <v xml:space="preserve">  </v>
      </c>
      <c r="E144" s="22" t="str">
        <f>IFERROR(IF(A144&gt;0,VLOOKUP(A144,[1]frente!A$3:F$10000,4,FALSE),"  "),"")</f>
        <v xml:space="preserve">  </v>
      </c>
      <c r="F144" s="218" t="str">
        <f t="shared" si="8"/>
        <v xml:space="preserve"> </v>
      </c>
      <c r="G144" s="22" t="str">
        <f t="shared" si="9"/>
        <v xml:space="preserve"> </v>
      </c>
      <c r="J144" s="247" t="str">
        <f>IFERROR(IF(A144&gt;0,VLOOKUP(A144,[1]frente!A$3:E$10000,5,FALSE)*B144,"  "),"")</f>
        <v xml:space="preserve">  </v>
      </c>
    </row>
    <row r="145" spans="1:10" ht="17.399999999999999" x14ac:dyDescent="0.3">
      <c r="A145" s="260"/>
      <c r="B145" s="226"/>
      <c r="C145" s="233" t="str">
        <f>IFERROR(IF(A145&gt;0,VLOOKUP(A145,[1]frente!A$3:E$10000,2,FALSE),"  "),"")</f>
        <v xml:space="preserve">  </v>
      </c>
      <c r="D145" s="218" t="str">
        <f>IFERROR(IF(A145&gt;0,VLOOKUP(A145,[1]frente!A$3:F$10000,3,FALSE),"  "),"")</f>
        <v xml:space="preserve">  </v>
      </c>
      <c r="E145" s="22" t="str">
        <f>IFERROR(IF(A145&gt;0,VLOOKUP(A145,[1]frente!A$3:F$10000,4,FALSE),"  "),"")</f>
        <v xml:space="preserve">  </v>
      </c>
      <c r="F145" s="218" t="str">
        <f t="shared" si="8"/>
        <v xml:space="preserve"> </v>
      </c>
      <c r="G145" s="22" t="str">
        <f t="shared" si="9"/>
        <v xml:space="preserve"> </v>
      </c>
      <c r="J145" s="247" t="str">
        <f>IFERROR(IF(A145&gt;0,VLOOKUP(A145,[1]frente!A$3:E$10000,5,FALSE)*B145,"  "),"")</f>
        <v xml:space="preserve">  </v>
      </c>
    </row>
    <row r="146" spans="1:10" ht="17.399999999999999" x14ac:dyDescent="0.3">
      <c r="A146" s="260"/>
      <c r="B146" s="226"/>
      <c r="C146" s="233" t="str">
        <f>IFERROR(IF(A146&gt;0,VLOOKUP(A146,[1]frente!A$3:E$10000,2,FALSE),"  "),"")</f>
        <v xml:space="preserve">  </v>
      </c>
      <c r="D146" s="218" t="str">
        <f>IFERROR(IF(A146&gt;0,VLOOKUP(A146,[1]frente!A$3:F$10000,3,FALSE),"  "),"")</f>
        <v xml:space="preserve">  </v>
      </c>
      <c r="E146" s="22" t="str">
        <f>IFERROR(IF(A146&gt;0,VLOOKUP(A146,[1]frente!A$3:F$10000,4,FALSE),"  "),"")</f>
        <v xml:space="preserve">  </v>
      </c>
      <c r="F146" s="218" t="str">
        <f t="shared" si="8"/>
        <v xml:space="preserve"> </v>
      </c>
      <c r="G146" s="22" t="str">
        <f t="shared" si="9"/>
        <v xml:space="preserve"> </v>
      </c>
      <c r="J146" s="247" t="str">
        <f>IFERROR(IF(A146&gt;0,VLOOKUP(A146,[1]frente!A$3:E$10000,5,FALSE)*B146,"  "),"")</f>
        <v xml:space="preserve">  </v>
      </c>
    </row>
    <row r="147" spans="1:10" ht="17.399999999999999" x14ac:dyDescent="0.3">
      <c r="A147" s="260"/>
      <c r="B147" s="226"/>
      <c r="C147" s="233" t="str">
        <f>IFERROR(IF(A147&gt;0,VLOOKUP(A147,[1]frente!A$3:E$10000,2,FALSE),"  "),"")</f>
        <v xml:space="preserve">  </v>
      </c>
      <c r="D147" s="218" t="str">
        <f>IFERROR(IF(A147&gt;0,VLOOKUP(A147,[1]frente!A$3:F$10000,3,FALSE),"  "),"")</f>
        <v xml:space="preserve">  </v>
      </c>
      <c r="E147" s="22" t="str">
        <f>IFERROR(IF(A147&gt;0,VLOOKUP(A147,[1]frente!A$3:F$10000,4,FALSE),"  "),"")</f>
        <v xml:space="preserve">  </v>
      </c>
      <c r="F147" s="218" t="str">
        <f t="shared" si="8"/>
        <v xml:space="preserve"> </v>
      </c>
      <c r="G147" s="22" t="str">
        <f t="shared" si="9"/>
        <v xml:space="preserve"> </v>
      </c>
      <c r="J147" s="247" t="str">
        <f>IFERROR(IF(A147&gt;0,VLOOKUP(A147,[1]frente!A$3:E$10000,5,FALSE)*B147,"  "),"")</f>
        <v xml:space="preserve">  </v>
      </c>
    </row>
    <row r="148" spans="1:10" ht="17.399999999999999" x14ac:dyDescent="0.3">
      <c r="A148" s="260"/>
      <c r="B148" s="227"/>
      <c r="C148" s="233" t="str">
        <f>IFERROR(IF(A148&gt;0,VLOOKUP(A148,[1]frente!A$3:E$10000,2,FALSE),"  "),"")</f>
        <v xml:space="preserve">  </v>
      </c>
      <c r="D148" s="218" t="str">
        <f>IFERROR(IF(A148&gt;0,VLOOKUP(A148,[1]frente!A$3:F$10000,3,FALSE),"  "),"")</f>
        <v xml:space="preserve">  </v>
      </c>
      <c r="E148" s="22" t="str">
        <f>IFERROR(IF(A148&gt;0,VLOOKUP(A148,[1]frente!A$3:F$10000,4,FALSE),"  "),"")</f>
        <v xml:space="preserve">  </v>
      </c>
      <c r="F148" s="218" t="str">
        <f t="shared" si="8"/>
        <v xml:space="preserve"> </v>
      </c>
      <c r="G148" s="22" t="str">
        <f t="shared" si="9"/>
        <v xml:space="preserve"> </v>
      </c>
      <c r="J148" s="247" t="str">
        <f>IFERROR(IF(A148&gt;0,VLOOKUP(A148,[1]frente!A$3:E$10000,5,FALSE)*B148,"  "),"")</f>
        <v xml:space="preserve">  </v>
      </c>
    </row>
    <row r="149" spans="1:10" ht="17.399999999999999" x14ac:dyDescent="0.3">
      <c r="A149" s="260"/>
      <c r="B149" s="227"/>
      <c r="C149" s="233" t="str">
        <f>IFERROR(IF(A149&gt;0,VLOOKUP(A149,[1]frente!A$3:E$10000,2,FALSE),"  "),"")</f>
        <v xml:space="preserve">  </v>
      </c>
      <c r="D149" s="218" t="str">
        <f>IFERROR(IF(A149&gt;0,VLOOKUP(A149,[1]frente!A$3:F$10000,3,FALSE),"  "),"")</f>
        <v xml:space="preserve">  </v>
      </c>
      <c r="E149" s="22" t="str">
        <f>IFERROR(IF(A149&gt;0,VLOOKUP(A149,[1]frente!A$3:F$10000,4,FALSE),"  "),"")</f>
        <v xml:space="preserve">  </v>
      </c>
      <c r="F149" s="218" t="str">
        <f t="shared" si="8"/>
        <v xml:space="preserve"> </v>
      </c>
      <c r="G149" s="22" t="str">
        <f t="shared" si="9"/>
        <v xml:space="preserve"> </v>
      </c>
      <c r="J149" s="247" t="str">
        <f>IFERROR(IF(A149&gt;0,VLOOKUP(A149,[1]frente!A$3:E$10000,5,FALSE)*B149,"  "),"")</f>
        <v xml:space="preserve">  </v>
      </c>
    </row>
    <row r="150" spans="1:10" ht="17.399999999999999" x14ac:dyDescent="0.3">
      <c r="A150" s="260"/>
      <c r="B150" s="227"/>
      <c r="C150" s="233" t="str">
        <f>IFERROR(IF(A150&gt;0,VLOOKUP(A150,[1]frente!A$3:E$10000,2,FALSE),"  "),"")</f>
        <v xml:space="preserve">  </v>
      </c>
      <c r="D150" s="218" t="str">
        <f>IFERROR(IF(A150&gt;0,VLOOKUP(A150,[1]frente!A$3:F$10000,3,FALSE),"  "),"")</f>
        <v xml:space="preserve">  </v>
      </c>
      <c r="E150" s="22" t="str">
        <f>IFERROR(IF(A150&gt;0,VLOOKUP(A150,[1]frente!A$3:F$10000,4,FALSE),"  "),"")</f>
        <v xml:space="preserve">  </v>
      </c>
      <c r="F150" s="218" t="str">
        <f t="shared" si="8"/>
        <v xml:space="preserve"> </v>
      </c>
      <c r="G150" s="22" t="str">
        <f t="shared" si="9"/>
        <v xml:space="preserve"> </v>
      </c>
      <c r="J150" s="247" t="str">
        <f>IFERROR(IF(A150&gt;0,VLOOKUP(A150,[1]frente!A$3:E$10000,5,FALSE)*B150,"  "),"")</f>
        <v xml:space="preserve">  </v>
      </c>
    </row>
    <row r="151" spans="1:10" ht="17.399999999999999" x14ac:dyDescent="0.3">
      <c r="A151" s="260"/>
      <c r="B151" s="227"/>
      <c r="C151" s="233" t="str">
        <f>IFERROR(IF(A151&gt;0,VLOOKUP(A151,[1]frente!A$3:E$10000,2,FALSE),"  "),"")</f>
        <v xml:space="preserve">  </v>
      </c>
      <c r="D151" s="218" t="str">
        <f>IFERROR(IF(A151&gt;0,VLOOKUP(A151,[1]frente!A$3:F$10000,3,FALSE),"  "),"")</f>
        <v xml:space="preserve">  </v>
      </c>
      <c r="E151" s="22" t="str">
        <f>IFERROR(IF(A151&gt;0,VLOOKUP(A151,[1]frente!A$3:F$10000,4,FALSE),"  "),"")</f>
        <v xml:space="preserve">  </v>
      </c>
      <c r="F151" s="218" t="str">
        <f t="shared" si="8"/>
        <v xml:space="preserve"> </v>
      </c>
      <c r="G151" s="22" t="str">
        <f t="shared" si="9"/>
        <v xml:space="preserve"> </v>
      </c>
      <c r="J151" s="247" t="str">
        <f>IFERROR(IF(A151&gt;0,VLOOKUP(A151,[1]frente!A$3:E$10000,5,FALSE)*B151,"  "),"")</f>
        <v xml:space="preserve">  </v>
      </c>
    </row>
    <row r="152" spans="1:10" ht="17.399999999999999" x14ac:dyDescent="0.3">
      <c r="A152" s="260"/>
      <c r="B152" s="227"/>
      <c r="C152" s="233" t="str">
        <f>IFERROR(IF(A152&gt;0,VLOOKUP(A152,[1]frente!A$3:E$10000,2,FALSE),"  "),"")</f>
        <v xml:space="preserve">  </v>
      </c>
      <c r="D152" s="218" t="str">
        <f>IFERROR(IF(A152&gt;0,VLOOKUP(A152,[1]frente!A$3:F$10000,3,FALSE),"  "),"")</f>
        <v xml:space="preserve">  </v>
      </c>
      <c r="E152" s="22" t="str">
        <f>IFERROR(IF(A152&gt;0,VLOOKUP(A152,[1]frente!A$3:F$10000,4,FALSE),"  "),"")</f>
        <v xml:space="preserve">  </v>
      </c>
      <c r="F152" s="218" t="str">
        <f t="shared" si="8"/>
        <v xml:space="preserve"> </v>
      </c>
      <c r="G152" s="22" t="str">
        <f t="shared" si="9"/>
        <v xml:space="preserve"> </v>
      </c>
      <c r="J152" s="247" t="str">
        <f>IFERROR(IF(A152&gt;0,VLOOKUP(A152,[1]frente!A$3:E$10000,5,FALSE)*B152,"  "),"")</f>
        <v xml:space="preserve">  </v>
      </c>
    </row>
    <row r="153" spans="1:10" ht="17.399999999999999" x14ac:dyDescent="0.3">
      <c r="A153" s="260"/>
      <c r="B153" s="227"/>
      <c r="C153" s="233" t="str">
        <f>IFERROR(IF(A153&gt;0,VLOOKUP(A153,[1]frente!A$3:E$10000,2,FALSE),"  "),"")</f>
        <v xml:space="preserve">  </v>
      </c>
      <c r="D153" s="218" t="str">
        <f>IFERROR(IF(A153&gt;0,VLOOKUP(A153,[1]frente!A$3:F$10000,3,FALSE),"  "),"")</f>
        <v xml:space="preserve">  </v>
      </c>
      <c r="E153" s="22" t="str">
        <f>IFERROR(IF(A153&gt;0,VLOOKUP(A153,[1]frente!A$3:F$10000,4,FALSE),"  "),"")</f>
        <v xml:space="preserve">  </v>
      </c>
      <c r="F153" s="218" t="str">
        <f t="shared" si="8"/>
        <v xml:space="preserve"> </v>
      </c>
      <c r="G153" s="22" t="str">
        <f t="shared" si="9"/>
        <v xml:space="preserve"> </v>
      </c>
      <c r="J153" s="247" t="str">
        <f>IFERROR(IF(A153&gt;0,VLOOKUP(A153,[1]frente!A$3:E$10000,5,FALSE)*B153,"  "),"")</f>
        <v xml:space="preserve">  </v>
      </c>
    </row>
    <row r="154" spans="1:10" ht="17.399999999999999" x14ac:dyDescent="0.3">
      <c r="A154" s="260"/>
      <c r="B154" s="227"/>
      <c r="C154" s="233" t="str">
        <f>IFERROR(IF(A154&gt;0,VLOOKUP(A154,[1]frente!A$3:E$10000,2,FALSE),"  "),"")</f>
        <v xml:space="preserve">  </v>
      </c>
      <c r="D154" s="218" t="str">
        <f>IFERROR(IF(A154&gt;0,VLOOKUP(A154,[1]frente!A$3:F$10000,3,FALSE),"  "),"")</f>
        <v xml:space="preserve">  </v>
      </c>
      <c r="E154" s="22" t="str">
        <f>IFERROR(IF(A154&gt;0,VLOOKUP(A154,[1]frente!A$3:F$10000,4,FALSE),"  "),"")</f>
        <v xml:space="preserve">  </v>
      </c>
      <c r="F154" s="218" t="str">
        <f t="shared" si="8"/>
        <v xml:space="preserve"> </v>
      </c>
      <c r="G154" s="22" t="str">
        <f t="shared" si="9"/>
        <v xml:space="preserve"> </v>
      </c>
      <c r="J154" s="247" t="str">
        <f>IFERROR(IF(A154&gt;0,VLOOKUP(A154,[1]frente!A$3:E$10000,5,FALSE)*B154,"  "),"")</f>
        <v xml:space="preserve">  </v>
      </c>
    </row>
    <row r="155" spans="1:10" ht="17.399999999999999" x14ac:dyDescent="0.3">
      <c r="A155" s="260"/>
      <c r="B155" s="227"/>
      <c r="C155" s="233" t="str">
        <f>IFERROR(IF(A155&gt;0,VLOOKUP(A155,[1]frente!A$3:E$10000,2,FALSE),"  "),"")</f>
        <v xml:space="preserve">  </v>
      </c>
      <c r="D155" s="218" t="str">
        <f>IFERROR(IF(A155&gt;0,VLOOKUP(A155,[1]frente!A$3:F$10000,3,FALSE),"  "),"")</f>
        <v xml:space="preserve">  </v>
      </c>
      <c r="E155" s="22" t="str">
        <f>IFERROR(IF(A155&gt;0,VLOOKUP(A155,[1]frente!A$3:F$10000,4,FALSE),"  "),"")</f>
        <v xml:space="preserve">  </v>
      </c>
      <c r="F155" s="218" t="str">
        <f t="shared" si="8"/>
        <v xml:space="preserve"> </v>
      </c>
      <c r="G155" s="22" t="str">
        <f t="shared" si="9"/>
        <v xml:space="preserve"> </v>
      </c>
      <c r="J155" s="247" t="str">
        <f>IFERROR(IF(A155&gt;0,VLOOKUP(A155,[1]frente!A$3:E$10000,5,FALSE)*B155,"  "),"")</f>
        <v xml:space="preserve">  </v>
      </c>
    </row>
    <row r="156" spans="1:10" ht="17.399999999999999" x14ac:dyDescent="0.3">
      <c r="A156" s="260"/>
      <c r="B156" s="227"/>
      <c r="C156" s="233" t="str">
        <f>IFERROR(IF(A156&gt;0,VLOOKUP(A156,[1]frente!A$3:E$10000,2,FALSE),"  "),"")</f>
        <v xml:space="preserve">  </v>
      </c>
      <c r="D156" s="218" t="str">
        <f>IFERROR(IF(A156&gt;0,VLOOKUP(A156,[1]frente!A$3:F$10000,3,FALSE),"  "),"")</f>
        <v xml:space="preserve">  </v>
      </c>
      <c r="E156" s="22" t="str">
        <f>IFERROR(IF(A156&gt;0,VLOOKUP(A156,[1]frente!A$3:F$10000,4,FALSE),"  "),"")</f>
        <v xml:space="preserve">  </v>
      </c>
      <c r="F156" s="218" t="str">
        <f t="shared" si="8"/>
        <v xml:space="preserve"> </v>
      </c>
      <c r="G156" s="22" t="str">
        <f t="shared" si="9"/>
        <v xml:space="preserve"> </v>
      </c>
      <c r="J156" s="247" t="str">
        <f>IFERROR(IF(A156&gt;0,VLOOKUP(A156,[1]frente!A$3:E$10000,5,FALSE)*B156,"  "),"")</f>
        <v xml:space="preserve">  </v>
      </c>
    </row>
    <row r="157" spans="1:10" ht="17.399999999999999" x14ac:dyDescent="0.3">
      <c r="A157" s="260"/>
      <c r="B157" s="227"/>
      <c r="C157" s="233" t="str">
        <f>IFERROR(IF(A157&gt;0,VLOOKUP(A157,[1]frente!A$3:E$10000,2,FALSE),"  "),"")</f>
        <v xml:space="preserve">  </v>
      </c>
      <c r="D157" s="218" t="str">
        <f>IFERROR(IF(A157&gt;0,VLOOKUP(A157,[1]frente!A$3:F$10000,3,FALSE),"  "),"")</f>
        <v xml:space="preserve">  </v>
      </c>
      <c r="E157" s="22" t="str">
        <f>IFERROR(IF(A157&gt;0,VLOOKUP(A157,[1]frente!A$3:F$10000,4,FALSE),"  "),"")</f>
        <v xml:space="preserve">  </v>
      </c>
      <c r="F157" s="218" t="str">
        <f t="shared" si="8"/>
        <v xml:space="preserve"> </v>
      </c>
      <c r="G157" s="22" t="str">
        <f t="shared" si="9"/>
        <v xml:space="preserve"> </v>
      </c>
      <c r="J157" s="247" t="str">
        <f>IFERROR(IF(A157&gt;0,VLOOKUP(A157,[1]frente!A$3:E$10000,5,FALSE)*B157,"  "),"")</f>
        <v xml:space="preserve">  </v>
      </c>
    </row>
    <row r="158" spans="1:10" ht="17.399999999999999" x14ac:dyDescent="0.3">
      <c r="A158" s="260"/>
      <c r="B158" s="227"/>
      <c r="C158" s="233" t="str">
        <f>IFERROR(IF(A158&gt;0,VLOOKUP(A158,[1]frente!A$3:E$10000,2,FALSE),"  "),"")</f>
        <v xml:space="preserve">  </v>
      </c>
      <c r="D158" s="218" t="str">
        <f>IFERROR(IF(A158&gt;0,VLOOKUP(A158,[1]frente!A$3:F$10000,3,FALSE),"  "),"")</f>
        <v xml:space="preserve">  </v>
      </c>
      <c r="E158" s="22" t="str">
        <f>IFERROR(IF(A158&gt;0,VLOOKUP(A158,[1]frente!A$3:F$10000,4,FALSE),"  "),"")</f>
        <v xml:space="preserve">  </v>
      </c>
      <c r="F158" s="218" t="str">
        <f t="shared" si="8"/>
        <v xml:space="preserve"> </v>
      </c>
      <c r="G158" s="22" t="str">
        <f t="shared" si="9"/>
        <v xml:space="preserve"> </v>
      </c>
      <c r="J158" s="247" t="str">
        <f>IFERROR(IF(A158&gt;0,VLOOKUP(A158,[1]frente!A$3:E$10000,5,FALSE)*B158,"  "),"")</f>
        <v xml:space="preserve">  </v>
      </c>
    </row>
    <row r="159" spans="1:10" ht="17.399999999999999" x14ac:dyDescent="0.3">
      <c r="A159" s="260"/>
      <c r="B159" s="227"/>
      <c r="C159" s="233" t="str">
        <f>IFERROR(IF(A159&gt;0,VLOOKUP(A159,[1]frente!A$3:E$10000,2,FALSE),"  "),"")</f>
        <v xml:space="preserve">  </v>
      </c>
      <c r="D159" s="218" t="str">
        <f>IFERROR(IF(A159&gt;0,VLOOKUP(A159,[1]frente!A$3:F$10000,3,FALSE),"  "),"")</f>
        <v xml:space="preserve">  </v>
      </c>
      <c r="E159" s="22" t="str">
        <f>IFERROR(IF(A159&gt;0,VLOOKUP(A159,[1]frente!A$3:F$10000,4,FALSE),"  "),"")</f>
        <v xml:space="preserve">  </v>
      </c>
      <c r="F159" s="218" t="str">
        <f t="shared" si="8"/>
        <v xml:space="preserve"> </v>
      </c>
      <c r="G159" s="22" t="str">
        <f t="shared" si="9"/>
        <v xml:space="preserve"> </v>
      </c>
      <c r="J159" s="247" t="str">
        <f>IFERROR(IF(A159&gt;0,VLOOKUP(A159,[1]frente!A$3:E$10000,5,FALSE)*B159,"  "),"")</f>
        <v xml:space="preserve">  </v>
      </c>
    </row>
    <row r="160" spans="1:10" ht="17.399999999999999" x14ac:dyDescent="0.3">
      <c r="A160" s="260"/>
      <c r="B160" s="227"/>
      <c r="C160" s="233" t="str">
        <f>IFERROR(IF(A160&gt;0,VLOOKUP(A160,[1]frente!A$3:E$10000,2,FALSE),"  "),"")</f>
        <v xml:space="preserve">  </v>
      </c>
      <c r="D160" s="218" t="str">
        <f>IFERROR(IF(A160&gt;0,VLOOKUP(A160,[1]frente!A$3:F$10000,3,FALSE),"  "),"")</f>
        <v xml:space="preserve">  </v>
      </c>
      <c r="E160" s="22" t="str">
        <f>IFERROR(IF(A160&gt;0,VLOOKUP(A160,[1]frente!A$3:F$10000,4,FALSE),"  "),"")</f>
        <v xml:space="preserve">  </v>
      </c>
      <c r="F160" s="218" t="str">
        <f t="shared" si="8"/>
        <v xml:space="preserve"> </v>
      </c>
      <c r="G160" s="22" t="str">
        <f t="shared" si="9"/>
        <v xml:space="preserve"> </v>
      </c>
      <c r="J160" s="247" t="str">
        <f>IFERROR(IF(A160&gt;0,VLOOKUP(A160,[1]frente!A$3:E$10000,5,FALSE)*B160,"  "),"")</f>
        <v xml:space="preserve">  </v>
      </c>
    </row>
    <row r="161" spans="1:10" ht="17.399999999999999" x14ac:dyDescent="0.3">
      <c r="A161" s="260"/>
      <c r="B161" s="227"/>
      <c r="C161" s="233" t="str">
        <f>IFERROR(IF(A161&gt;0,VLOOKUP(A161,[1]frente!A$3:E$10000,2,FALSE),"  "),"")</f>
        <v xml:space="preserve">  </v>
      </c>
      <c r="D161" s="218" t="str">
        <f>IFERROR(IF(A161&gt;0,VLOOKUP(A161,[1]frente!A$3:F$10000,3,FALSE),"  "),"")</f>
        <v xml:space="preserve">  </v>
      </c>
      <c r="E161" s="22" t="str">
        <f>IFERROR(IF(A161&gt;0,VLOOKUP(A161,[1]frente!A$3:F$10000,4,FALSE),"  "),"")</f>
        <v xml:space="preserve">  </v>
      </c>
      <c r="F161" s="218" t="str">
        <f t="shared" si="8"/>
        <v xml:space="preserve"> </v>
      </c>
      <c r="G161" s="22" t="str">
        <f t="shared" si="9"/>
        <v xml:space="preserve"> </v>
      </c>
      <c r="J161" s="247" t="str">
        <f>IFERROR(IF(A161&gt;0,VLOOKUP(A161,[1]frente!A$3:E$10000,5,FALSE)*B161,"  "),"")</f>
        <v xml:space="preserve">  </v>
      </c>
    </row>
    <row r="162" spans="1:10" ht="17.399999999999999" x14ac:dyDescent="0.3">
      <c r="A162" s="260"/>
      <c r="B162" s="227"/>
      <c r="C162" s="233" t="str">
        <f>IFERROR(IF(A162&gt;0,VLOOKUP(A162,[1]frente!A$3:E$10000,2,FALSE),"  "),"")</f>
        <v xml:space="preserve">  </v>
      </c>
      <c r="D162" s="218" t="str">
        <f>IFERROR(IF(A162&gt;0,VLOOKUP(A162,[1]frente!A$3:F$10000,3,FALSE),"  "),"")</f>
        <v xml:space="preserve">  </v>
      </c>
      <c r="E162" s="22" t="str">
        <f>IFERROR(IF(A162&gt;0,VLOOKUP(A162,[1]frente!A$3:F$10000,4,FALSE),"  "),"")</f>
        <v xml:space="preserve">  </v>
      </c>
      <c r="F162" s="218" t="str">
        <f t="shared" si="8"/>
        <v xml:space="preserve"> </v>
      </c>
      <c r="G162" s="22" t="str">
        <f t="shared" si="9"/>
        <v xml:space="preserve"> </v>
      </c>
      <c r="J162" s="247" t="str">
        <f>IFERROR(IF(A162&gt;0,VLOOKUP(A162,[1]frente!A$3:E$10000,5,FALSE)*B162,"  "),"")</f>
        <v xml:space="preserve">  </v>
      </c>
    </row>
    <row r="163" spans="1:10" ht="17.399999999999999" x14ac:dyDescent="0.3">
      <c r="A163" s="260"/>
      <c r="B163" s="227"/>
      <c r="C163" s="233" t="str">
        <f>IFERROR(IF(A163&gt;0,VLOOKUP(A163,[1]frente!A$3:E$10000,2,FALSE),"  "),"")</f>
        <v xml:space="preserve">  </v>
      </c>
      <c r="D163" s="218" t="str">
        <f>IFERROR(IF(A163&gt;0,VLOOKUP(A163,[1]frente!A$3:F$10000,3,FALSE),"  "),"")</f>
        <v xml:space="preserve">  </v>
      </c>
      <c r="E163" s="22" t="str">
        <f>IFERROR(IF(A163&gt;0,VLOOKUP(A163,[1]frente!A$3:F$10000,4,FALSE),"  "),"")</f>
        <v xml:space="preserve">  </v>
      </c>
      <c r="F163" s="218" t="str">
        <f t="shared" si="8"/>
        <v xml:space="preserve"> </v>
      </c>
      <c r="G163" s="22" t="str">
        <f t="shared" si="9"/>
        <v xml:space="preserve"> </v>
      </c>
      <c r="J163" s="247" t="str">
        <f>IFERROR(IF(A163&gt;0,VLOOKUP(A163,[1]frente!A$3:E$10000,5,FALSE)*B163,"  "),"")</f>
        <v xml:space="preserve">  </v>
      </c>
    </row>
    <row r="164" spans="1:10" ht="17.399999999999999" x14ac:dyDescent="0.3">
      <c r="A164" s="260"/>
      <c r="B164" s="227"/>
      <c r="C164" s="233" t="str">
        <f>IFERROR(IF(A164&gt;0,VLOOKUP(A164,[1]frente!A$3:E$10000,2,FALSE),"  "),"")</f>
        <v xml:space="preserve">  </v>
      </c>
      <c r="D164" s="218" t="str">
        <f>IFERROR(IF(A164&gt;0,VLOOKUP(A164,[1]frente!A$3:F$10000,3,FALSE),"  "),"")</f>
        <v xml:space="preserve">  </v>
      </c>
      <c r="E164" s="22" t="str">
        <f>IFERROR(IF(A164&gt;0,VLOOKUP(A164,[1]frente!A$3:F$10000,4,FALSE),"  "),"")</f>
        <v xml:space="preserve">  </v>
      </c>
      <c r="F164" s="218" t="str">
        <f t="shared" si="8"/>
        <v xml:space="preserve"> </v>
      </c>
      <c r="G164" s="22" t="str">
        <f t="shared" si="9"/>
        <v xml:space="preserve"> </v>
      </c>
      <c r="J164" s="247" t="str">
        <f>IFERROR(IF(A164&gt;0,VLOOKUP(A164,[1]frente!A$3:E$10000,5,FALSE)*B164,"  "),"")</f>
        <v xml:space="preserve">  </v>
      </c>
    </row>
    <row r="165" spans="1:10" ht="17.399999999999999" x14ac:dyDescent="0.3">
      <c r="A165" s="260"/>
      <c r="B165" s="227"/>
      <c r="C165" s="233" t="str">
        <f>IFERROR(IF(A165&gt;0,VLOOKUP(A165,[1]frente!A$3:E$10000,2,FALSE),"  "),"")</f>
        <v xml:space="preserve">  </v>
      </c>
      <c r="D165" s="218" t="str">
        <f>IFERROR(IF(A165&gt;0,VLOOKUP(A165,[1]frente!A$3:F$10000,3,FALSE),"  "),"")</f>
        <v xml:space="preserve">  </v>
      </c>
      <c r="E165" s="22" t="str">
        <f>IFERROR(IF(A165&gt;0,VLOOKUP(A165,[1]frente!A$3:F$10000,4,FALSE),"  "),"")</f>
        <v xml:space="preserve">  </v>
      </c>
      <c r="F165" s="218" t="str">
        <f t="shared" si="8"/>
        <v xml:space="preserve"> </v>
      </c>
      <c r="G165" s="22" t="str">
        <f t="shared" si="9"/>
        <v xml:space="preserve"> </v>
      </c>
      <c r="J165" s="247" t="str">
        <f>IFERROR(IF(A165&gt;0,VLOOKUP(A165,[1]frente!A$3:E$10000,5,FALSE)*B165,"  "),"")</f>
        <v xml:space="preserve">  </v>
      </c>
    </row>
    <row r="166" spans="1:10" ht="17.399999999999999" x14ac:dyDescent="0.3">
      <c r="A166" s="260"/>
      <c r="B166" s="227"/>
      <c r="C166" s="233" t="str">
        <f>IFERROR(IF(A166&gt;0,VLOOKUP(A166,[1]frente!A$3:E$10000,2,FALSE),"  "),"")</f>
        <v xml:space="preserve">  </v>
      </c>
      <c r="D166" s="218" t="str">
        <f>IFERROR(IF(A166&gt;0,VLOOKUP(A166,[1]frente!A$3:F$10000,3,FALSE),"  "),"")</f>
        <v xml:space="preserve">  </v>
      </c>
      <c r="E166" s="22" t="str">
        <f>IFERROR(IF(A166&gt;0,VLOOKUP(A166,[1]frente!A$3:F$10000,4,FALSE),"  "),"")</f>
        <v xml:space="preserve">  </v>
      </c>
      <c r="F166" s="218" t="str">
        <f t="shared" si="8"/>
        <v xml:space="preserve"> </v>
      </c>
      <c r="G166" s="22" t="str">
        <f t="shared" si="9"/>
        <v xml:space="preserve"> </v>
      </c>
      <c r="J166" s="247" t="str">
        <f>IFERROR(IF(A166&gt;0,VLOOKUP(A166,[1]frente!A$3:E$10000,5,FALSE)*B166,"  "),"")</f>
        <v xml:space="preserve">  </v>
      </c>
    </row>
    <row r="167" spans="1:10" ht="17.399999999999999" x14ac:dyDescent="0.3">
      <c r="A167" s="260"/>
      <c r="B167" s="227"/>
      <c r="C167" s="233" t="str">
        <f>IFERROR(IF(A167&gt;0,VLOOKUP(A167,[1]frente!A$3:E$10000,2,FALSE),"  "),"")</f>
        <v xml:space="preserve">  </v>
      </c>
      <c r="D167" s="218" t="str">
        <f>IFERROR(IF(A167&gt;0,VLOOKUP(A167,[1]frente!A$3:F$10000,3,FALSE),"  "),"")</f>
        <v xml:space="preserve">  </v>
      </c>
      <c r="E167" s="22" t="str">
        <f>IFERROR(IF(A167&gt;0,VLOOKUP(A167,[1]frente!A$3:F$10000,4,FALSE),"  "),"")</f>
        <v xml:space="preserve">  </v>
      </c>
      <c r="F167" s="218" t="str">
        <f t="shared" si="8"/>
        <v xml:space="preserve"> </v>
      </c>
      <c r="G167" s="22" t="str">
        <f t="shared" si="9"/>
        <v xml:space="preserve"> </v>
      </c>
      <c r="J167" s="247" t="str">
        <f>IFERROR(IF(A167&gt;0,VLOOKUP(A167,[1]frente!A$3:E$10000,5,FALSE)*B167,"  "),"")</f>
        <v xml:space="preserve">  </v>
      </c>
    </row>
    <row r="168" spans="1:10" ht="17.399999999999999" x14ac:dyDescent="0.3">
      <c r="A168" s="260"/>
      <c r="B168" s="227"/>
      <c r="C168" s="233" t="str">
        <f>IFERROR(IF(A168&gt;0,VLOOKUP(A168,[1]frente!A$3:E$10000,2,FALSE),"  "),"")</f>
        <v xml:space="preserve">  </v>
      </c>
      <c r="D168" s="218" t="str">
        <f>IFERROR(IF(A168&gt;0,VLOOKUP(A168,[1]frente!A$3:F$10000,3,FALSE),"  "),"")</f>
        <v xml:space="preserve">  </v>
      </c>
      <c r="E168" s="22" t="str">
        <f>IFERROR(IF(A168&gt;0,VLOOKUP(A168,[1]frente!A$3:F$10000,4,FALSE),"  "),"")</f>
        <v xml:space="preserve">  </v>
      </c>
      <c r="F168" s="218" t="str">
        <f t="shared" si="8"/>
        <v xml:space="preserve"> </v>
      </c>
      <c r="G168" s="22" t="str">
        <f t="shared" si="9"/>
        <v xml:space="preserve"> </v>
      </c>
      <c r="J168" s="247" t="str">
        <f>IFERROR(IF(A168&gt;0,VLOOKUP(A168,[1]frente!A$3:E$10000,5,FALSE)*B168,"  "),"")</f>
        <v xml:space="preserve">  </v>
      </c>
    </row>
    <row r="169" spans="1:10" ht="17.399999999999999" x14ac:dyDescent="0.3">
      <c r="A169" s="260"/>
      <c r="B169" s="227"/>
      <c r="C169" s="233" t="str">
        <f>IFERROR(IF(A169&gt;0,VLOOKUP(A169,[1]frente!A$3:E$10000,2,FALSE),"  "),"")</f>
        <v xml:space="preserve">  </v>
      </c>
      <c r="D169" s="218" t="str">
        <f>IFERROR(IF(A169&gt;0,VLOOKUP(A169,[1]frente!A$3:F$10000,3,FALSE),"  "),"")</f>
        <v xml:space="preserve">  </v>
      </c>
      <c r="E169" s="22" t="str">
        <f>IFERROR(IF(A169&gt;0,VLOOKUP(A169,[1]frente!A$3:F$10000,4,FALSE),"  "),"")</f>
        <v xml:space="preserve">  </v>
      </c>
      <c r="F169" s="218" t="str">
        <f t="shared" si="8"/>
        <v xml:space="preserve"> </v>
      </c>
      <c r="G169" s="22" t="str">
        <f t="shared" si="9"/>
        <v xml:space="preserve"> </v>
      </c>
      <c r="J169" s="247" t="str">
        <f>IFERROR(IF(A169&gt;0,VLOOKUP(A169,[1]frente!A$3:E$10000,5,FALSE)*B169,"  "),"")</f>
        <v xml:space="preserve">  </v>
      </c>
    </row>
    <row r="170" spans="1:10" ht="17.399999999999999" x14ac:dyDescent="0.3">
      <c r="A170" s="260"/>
      <c r="B170" s="227"/>
      <c r="C170" s="233" t="str">
        <f>IFERROR(IF(A170&gt;0,VLOOKUP(A170,[1]frente!A$3:E$10000,2,FALSE),"  "),"")</f>
        <v xml:space="preserve">  </v>
      </c>
      <c r="D170" s="218" t="str">
        <f>IFERROR(IF(A170&gt;0,VLOOKUP(A170,[1]frente!A$3:F$10000,3,FALSE),"  "),"")</f>
        <v xml:space="preserve">  </v>
      </c>
      <c r="E170" s="22" t="str">
        <f>IFERROR(IF(A170&gt;0,VLOOKUP(A170,[1]frente!A$3:F$10000,4,FALSE),"  "),"")</f>
        <v xml:space="preserve">  </v>
      </c>
      <c r="F170" s="218" t="str">
        <f t="shared" ref="F170:F199" si="10">IFERROR(IF(A170&gt;0,B170*D170," "),"")</f>
        <v xml:space="preserve"> </v>
      </c>
      <c r="G170" s="22" t="str">
        <f t="shared" ref="G170:G199" si="11">IFERROR(IF(A170&gt;0,B170/E170," "),"")</f>
        <v xml:space="preserve"> </v>
      </c>
      <c r="J170" s="247" t="str">
        <f>IFERROR(IF(A170&gt;0,VLOOKUP(A170,[1]frente!A$3:E$10000,5,FALSE)*B170,"  "),"")</f>
        <v xml:space="preserve">  </v>
      </c>
    </row>
    <row r="171" spans="1:10" ht="17.399999999999999" x14ac:dyDescent="0.3">
      <c r="A171" s="260"/>
      <c r="B171" s="227"/>
      <c r="C171" s="233" t="str">
        <f>IFERROR(IF(A171&gt;0,VLOOKUP(A171,[1]frente!A$3:E$10000,2,FALSE),"  "),"")</f>
        <v xml:space="preserve">  </v>
      </c>
      <c r="D171" s="218" t="str">
        <f>IFERROR(IF(A171&gt;0,VLOOKUP(A171,[1]frente!A$3:F$10000,3,FALSE),"  "),"")</f>
        <v xml:space="preserve">  </v>
      </c>
      <c r="E171" s="22" t="str">
        <f>IFERROR(IF(A171&gt;0,VLOOKUP(A171,[1]frente!A$3:F$10000,4,FALSE),"  "),"")</f>
        <v xml:space="preserve">  </v>
      </c>
      <c r="F171" s="218" t="str">
        <f t="shared" si="10"/>
        <v xml:space="preserve"> </v>
      </c>
      <c r="G171" s="22" t="str">
        <f t="shared" si="11"/>
        <v xml:space="preserve"> </v>
      </c>
      <c r="J171" s="247" t="str">
        <f>IFERROR(IF(A171&gt;0,VLOOKUP(A171,[1]frente!A$3:E$10000,5,FALSE)*B171,"  "),"")</f>
        <v xml:space="preserve">  </v>
      </c>
    </row>
    <row r="172" spans="1:10" ht="17.399999999999999" x14ac:dyDescent="0.3">
      <c r="A172" s="260"/>
      <c r="B172" s="227"/>
      <c r="C172" s="233" t="str">
        <f>IFERROR(IF(A172&gt;0,VLOOKUP(A172,[1]frente!A$3:E$10000,2,FALSE),"  "),"")</f>
        <v xml:space="preserve">  </v>
      </c>
      <c r="D172" s="218" t="str">
        <f>IFERROR(IF(A172&gt;0,VLOOKUP(A172,[1]frente!A$3:F$10000,3,FALSE),"  "),"")</f>
        <v xml:space="preserve">  </v>
      </c>
      <c r="E172" s="22" t="str">
        <f>IFERROR(IF(A172&gt;0,VLOOKUP(A172,[1]frente!A$3:F$10000,4,FALSE),"  "),"")</f>
        <v xml:space="preserve">  </v>
      </c>
      <c r="F172" s="218" t="str">
        <f t="shared" si="10"/>
        <v xml:space="preserve"> </v>
      </c>
      <c r="G172" s="22" t="str">
        <f t="shared" si="11"/>
        <v xml:space="preserve"> </v>
      </c>
      <c r="J172" s="247" t="str">
        <f>IFERROR(IF(A172&gt;0,VLOOKUP(A172,[1]frente!A$3:E$10000,5,FALSE)*B172,"  "),"")</f>
        <v xml:space="preserve">  </v>
      </c>
    </row>
    <row r="173" spans="1:10" ht="17.399999999999999" x14ac:dyDescent="0.3">
      <c r="A173" s="260"/>
      <c r="B173" s="227"/>
      <c r="C173" s="233" t="str">
        <f>IFERROR(IF(A173&gt;0,VLOOKUP(A173,[1]frente!A$3:E$10000,2,FALSE),"  "),"")</f>
        <v xml:space="preserve">  </v>
      </c>
      <c r="D173" s="218" t="str">
        <f>IFERROR(IF(A173&gt;0,VLOOKUP(A173,[1]frente!A$3:F$10000,3,FALSE),"  "),"")</f>
        <v xml:space="preserve">  </v>
      </c>
      <c r="E173" s="22" t="str">
        <f>IFERROR(IF(A173&gt;0,VLOOKUP(A173,[1]frente!A$3:F$10000,4,FALSE),"  "),"")</f>
        <v xml:space="preserve">  </v>
      </c>
      <c r="F173" s="218" t="str">
        <f t="shared" si="10"/>
        <v xml:space="preserve"> </v>
      </c>
      <c r="G173" s="22" t="str">
        <f t="shared" si="11"/>
        <v xml:space="preserve"> </v>
      </c>
      <c r="J173" s="247" t="str">
        <f>IFERROR(IF(A173&gt;0,VLOOKUP(A173,[1]frente!A$3:E$10000,5,FALSE)*B173,"  "),"")</f>
        <v xml:space="preserve">  </v>
      </c>
    </row>
    <row r="174" spans="1:10" ht="17.399999999999999" x14ac:dyDescent="0.3">
      <c r="A174" s="260"/>
      <c r="B174" s="227"/>
      <c r="C174" s="233" t="str">
        <f>IFERROR(IF(A174&gt;0,VLOOKUP(A174,[1]frente!A$3:E$10000,2,FALSE),"  "),"")</f>
        <v xml:space="preserve">  </v>
      </c>
      <c r="D174" s="218" t="str">
        <f>IFERROR(IF(A174&gt;0,VLOOKUP(A174,[1]frente!A$3:F$10000,3,FALSE),"  "),"")</f>
        <v xml:space="preserve">  </v>
      </c>
      <c r="E174" s="22" t="str">
        <f>IFERROR(IF(A174&gt;0,VLOOKUP(A174,[1]frente!A$3:F$10000,4,FALSE),"  "),"")</f>
        <v xml:space="preserve">  </v>
      </c>
      <c r="F174" s="218" t="str">
        <f t="shared" si="10"/>
        <v xml:space="preserve"> </v>
      </c>
      <c r="G174" s="22" t="str">
        <f t="shared" si="11"/>
        <v xml:space="preserve"> </v>
      </c>
      <c r="J174" s="247" t="str">
        <f>IFERROR(IF(A174&gt;0,VLOOKUP(A174,[1]frente!A$3:E$10000,5,FALSE)*B174,"  "),"")</f>
        <v xml:space="preserve">  </v>
      </c>
    </row>
    <row r="175" spans="1:10" ht="17.399999999999999" x14ac:dyDescent="0.3">
      <c r="A175" s="260"/>
      <c r="B175" s="227"/>
      <c r="C175" s="233" t="str">
        <f>IFERROR(IF(A175&gt;0,VLOOKUP(A175,[1]frente!A$3:E$10000,2,FALSE),"  "),"")</f>
        <v xml:space="preserve">  </v>
      </c>
      <c r="D175" s="218" t="str">
        <f>IFERROR(IF(A175&gt;0,VLOOKUP(A175,[1]frente!A$3:F$10000,3,FALSE),"  "),"")</f>
        <v xml:space="preserve">  </v>
      </c>
      <c r="E175" s="22" t="str">
        <f>IFERROR(IF(A175&gt;0,VLOOKUP(A175,[1]frente!A$3:F$10000,4,FALSE),"  "),"")</f>
        <v xml:space="preserve">  </v>
      </c>
      <c r="F175" s="218" t="str">
        <f t="shared" si="10"/>
        <v xml:space="preserve"> </v>
      </c>
      <c r="G175" s="22" t="str">
        <f t="shared" si="11"/>
        <v xml:space="preserve"> </v>
      </c>
      <c r="J175" s="247" t="str">
        <f>IFERROR(IF(A175&gt;0,VLOOKUP(A175,[1]frente!A$3:E$10000,5,FALSE)*B175,"  "),"")</f>
        <v xml:space="preserve">  </v>
      </c>
    </row>
    <row r="176" spans="1:10" ht="17.399999999999999" x14ac:dyDescent="0.3">
      <c r="A176" s="260"/>
      <c r="B176" s="227"/>
      <c r="C176" s="233" t="str">
        <f>IFERROR(IF(A176&gt;0,VLOOKUP(A176,[1]frente!A$3:E$10000,2,FALSE),"  "),"")</f>
        <v xml:space="preserve">  </v>
      </c>
      <c r="D176" s="218" t="str">
        <f>IFERROR(IF(A176&gt;0,VLOOKUP(A176,[1]frente!A$3:F$10000,3,FALSE),"  "),"")</f>
        <v xml:space="preserve">  </v>
      </c>
      <c r="E176" s="22" t="str">
        <f>IFERROR(IF(A176&gt;0,VLOOKUP(A176,[1]frente!A$3:F$10000,4,FALSE),"  "),"")</f>
        <v xml:space="preserve">  </v>
      </c>
      <c r="F176" s="218" t="str">
        <f t="shared" si="10"/>
        <v xml:space="preserve"> </v>
      </c>
      <c r="G176" s="22" t="str">
        <f t="shared" si="11"/>
        <v xml:space="preserve"> </v>
      </c>
      <c r="J176" s="247" t="str">
        <f>IFERROR(IF(A176&gt;0,VLOOKUP(A176,[1]frente!A$3:E$10000,5,FALSE)*B176,"  "),"")</f>
        <v xml:space="preserve">  </v>
      </c>
    </row>
    <row r="177" spans="1:10" ht="17.399999999999999" x14ac:dyDescent="0.3">
      <c r="A177" s="260"/>
      <c r="B177" s="227"/>
      <c r="C177" s="233" t="str">
        <f>IFERROR(IF(A177&gt;0,VLOOKUP(A177,[1]frente!A$3:E$10000,2,FALSE),"  "),"")</f>
        <v xml:space="preserve">  </v>
      </c>
      <c r="D177" s="218" t="str">
        <f>IFERROR(IF(A177&gt;0,VLOOKUP(A177,[1]frente!A$3:F$10000,3,FALSE),"  "),"")</f>
        <v xml:space="preserve">  </v>
      </c>
      <c r="E177" s="22" t="str">
        <f>IFERROR(IF(A177&gt;0,VLOOKUP(A177,[1]frente!A$3:F$10000,4,FALSE),"  "),"")</f>
        <v xml:space="preserve">  </v>
      </c>
      <c r="F177" s="218" t="str">
        <f t="shared" si="10"/>
        <v xml:space="preserve"> </v>
      </c>
      <c r="G177" s="22" t="str">
        <f t="shared" si="11"/>
        <v xml:space="preserve"> </v>
      </c>
      <c r="J177" s="247" t="str">
        <f>IFERROR(IF(A177&gt;0,VLOOKUP(A177,[1]frente!A$3:E$10000,5,FALSE)*B177,"  "),"")</f>
        <v xml:space="preserve">  </v>
      </c>
    </row>
    <row r="178" spans="1:10" ht="17.399999999999999" x14ac:dyDescent="0.3">
      <c r="A178" s="260"/>
      <c r="B178" s="227"/>
      <c r="C178" s="233" t="str">
        <f>IFERROR(IF(A178&gt;0,VLOOKUP(A178,[1]frente!A$3:E$10000,2,FALSE),"  "),"")</f>
        <v xml:space="preserve">  </v>
      </c>
      <c r="D178" s="218" t="str">
        <f>IFERROR(IF(A178&gt;0,VLOOKUP(A178,[1]frente!A$3:F$10000,3,FALSE),"  "),"")</f>
        <v xml:space="preserve">  </v>
      </c>
      <c r="E178" s="22" t="str">
        <f>IFERROR(IF(A178&gt;0,VLOOKUP(A178,[1]frente!A$3:F$10000,4,FALSE),"  "),"")</f>
        <v xml:space="preserve">  </v>
      </c>
      <c r="F178" s="218" t="str">
        <f t="shared" si="10"/>
        <v xml:space="preserve"> </v>
      </c>
      <c r="G178" s="22" t="str">
        <f t="shared" si="11"/>
        <v xml:space="preserve"> </v>
      </c>
      <c r="J178" s="247" t="str">
        <f>IFERROR(IF(A178&gt;0,VLOOKUP(A178,[1]frente!A$3:E$10000,5,FALSE)*B178,"  "),"")</f>
        <v xml:space="preserve">  </v>
      </c>
    </row>
    <row r="179" spans="1:10" ht="17.399999999999999" x14ac:dyDescent="0.3">
      <c r="A179" s="260"/>
      <c r="B179" s="227"/>
      <c r="C179" s="233" t="str">
        <f>IFERROR(IF(A179&gt;0,VLOOKUP(A179,[1]frente!A$3:E$10000,2,FALSE),"  "),"")</f>
        <v xml:space="preserve">  </v>
      </c>
      <c r="D179" s="218" t="str">
        <f>IFERROR(IF(A179&gt;0,VLOOKUP(A179,[1]frente!A$3:F$10000,3,FALSE),"  "),"")</f>
        <v xml:space="preserve">  </v>
      </c>
      <c r="E179" s="22" t="str">
        <f>IFERROR(IF(A179&gt;0,VLOOKUP(A179,[1]frente!A$3:F$10000,4,FALSE),"  "),"")</f>
        <v xml:space="preserve">  </v>
      </c>
      <c r="F179" s="218" t="str">
        <f t="shared" si="10"/>
        <v xml:space="preserve"> </v>
      </c>
      <c r="G179" s="22" t="str">
        <f t="shared" si="11"/>
        <v xml:space="preserve"> </v>
      </c>
      <c r="J179" s="247" t="str">
        <f>IFERROR(IF(A179&gt;0,VLOOKUP(A179,[1]frente!A$3:E$10000,5,FALSE)*B179,"  "),"")</f>
        <v xml:space="preserve">  </v>
      </c>
    </row>
    <row r="180" spans="1:10" ht="17.399999999999999" x14ac:dyDescent="0.3">
      <c r="A180" s="260"/>
      <c r="B180" s="227"/>
      <c r="C180" s="233" t="str">
        <f>IFERROR(IF(A180&gt;0,VLOOKUP(A180,[1]frente!A$3:E$10000,2,FALSE),"  "),"")</f>
        <v xml:space="preserve">  </v>
      </c>
      <c r="D180" s="218" t="str">
        <f>IFERROR(IF(A180&gt;0,VLOOKUP(A180,[1]frente!A$3:F$10000,3,FALSE),"  "),"")</f>
        <v xml:space="preserve">  </v>
      </c>
      <c r="E180" s="22" t="str">
        <f>IFERROR(IF(A180&gt;0,VLOOKUP(A180,[1]frente!A$3:F$10000,4,FALSE),"  "),"")</f>
        <v xml:space="preserve">  </v>
      </c>
      <c r="F180" s="218" t="str">
        <f t="shared" si="10"/>
        <v xml:space="preserve"> </v>
      </c>
      <c r="G180" s="22" t="str">
        <f t="shared" si="11"/>
        <v xml:space="preserve"> </v>
      </c>
      <c r="J180" s="247" t="str">
        <f>IFERROR(IF(A180&gt;0,VLOOKUP(A180,[1]frente!A$3:E$10000,5,FALSE)*B180,"  "),"")</f>
        <v xml:space="preserve">  </v>
      </c>
    </row>
    <row r="181" spans="1:10" ht="17.399999999999999" x14ac:dyDescent="0.3">
      <c r="A181" s="260"/>
      <c r="B181" s="227"/>
      <c r="C181" s="233" t="str">
        <f>IFERROR(IF(A181&gt;0,VLOOKUP(A181,[1]frente!A$3:E$10000,2,FALSE),"  "),"")</f>
        <v xml:space="preserve">  </v>
      </c>
      <c r="D181" s="218" t="str">
        <f>IFERROR(IF(A181&gt;0,VLOOKUP(A181,[1]frente!A$3:F$10000,3,FALSE),"  "),"")</f>
        <v xml:space="preserve">  </v>
      </c>
      <c r="E181" s="22" t="str">
        <f>IFERROR(IF(A181&gt;0,VLOOKUP(A181,[1]frente!A$3:F$10000,4,FALSE),"  "),"")</f>
        <v xml:space="preserve">  </v>
      </c>
      <c r="F181" s="218" t="str">
        <f t="shared" si="10"/>
        <v xml:space="preserve"> </v>
      </c>
      <c r="G181" s="22" t="str">
        <f t="shared" si="11"/>
        <v xml:space="preserve"> </v>
      </c>
      <c r="J181" s="247" t="str">
        <f>IFERROR(IF(A181&gt;0,VLOOKUP(A181,[1]frente!A$3:E$10000,5,FALSE)*B181,"  "),"")</f>
        <v xml:space="preserve">  </v>
      </c>
    </row>
    <row r="182" spans="1:10" ht="17.399999999999999" x14ac:dyDescent="0.3">
      <c r="A182" s="260"/>
      <c r="B182" s="227"/>
      <c r="C182" s="233" t="str">
        <f>IFERROR(IF(A182&gt;0,VLOOKUP(A182,[1]frente!A$3:E$10000,2,FALSE),"  "),"")</f>
        <v xml:space="preserve">  </v>
      </c>
      <c r="D182" s="218" t="str">
        <f>IFERROR(IF(A182&gt;0,VLOOKUP(A182,[1]frente!A$3:F$10000,3,FALSE),"  "),"")</f>
        <v xml:space="preserve">  </v>
      </c>
      <c r="E182" s="22" t="str">
        <f>IFERROR(IF(A182&gt;0,VLOOKUP(A182,[1]frente!A$3:F$10000,4,FALSE),"  "),"")</f>
        <v xml:space="preserve">  </v>
      </c>
      <c r="F182" s="218" t="str">
        <f t="shared" si="10"/>
        <v xml:space="preserve"> </v>
      </c>
      <c r="G182" s="22" t="str">
        <f t="shared" si="11"/>
        <v xml:space="preserve"> </v>
      </c>
      <c r="J182" s="247" t="str">
        <f>IFERROR(IF(A182&gt;0,VLOOKUP(A182,[1]frente!A$3:E$10000,5,FALSE)*B182,"  "),"")</f>
        <v xml:space="preserve">  </v>
      </c>
    </row>
    <row r="183" spans="1:10" ht="17.399999999999999" x14ac:dyDescent="0.3">
      <c r="A183" s="260"/>
      <c r="B183" s="227"/>
      <c r="C183" s="233" t="str">
        <f>IFERROR(IF(A183&gt;0,VLOOKUP(A183,[1]frente!A$3:E$10000,2,FALSE),"  "),"")</f>
        <v xml:space="preserve">  </v>
      </c>
      <c r="D183" s="218" t="str">
        <f>IFERROR(IF(A183&gt;0,VLOOKUP(A183,[1]frente!A$3:F$10000,3,FALSE),"  "),"")</f>
        <v xml:space="preserve">  </v>
      </c>
      <c r="E183" s="22" t="str">
        <f>IFERROR(IF(A183&gt;0,VLOOKUP(A183,[1]frente!A$3:F$10000,4,FALSE),"  "),"")</f>
        <v xml:space="preserve">  </v>
      </c>
      <c r="F183" s="218" t="str">
        <f t="shared" si="10"/>
        <v xml:space="preserve"> </v>
      </c>
      <c r="G183" s="22" t="str">
        <f t="shared" si="11"/>
        <v xml:space="preserve"> </v>
      </c>
      <c r="J183" s="247" t="str">
        <f>IFERROR(IF(A183&gt;0,VLOOKUP(A183,[1]frente!A$3:E$10000,5,FALSE)*B183,"  "),"")</f>
        <v xml:space="preserve">  </v>
      </c>
    </row>
    <row r="184" spans="1:10" ht="17.399999999999999" x14ac:dyDescent="0.3">
      <c r="A184" s="260"/>
      <c r="B184" s="227"/>
      <c r="C184" s="233" t="str">
        <f>IFERROR(IF(A184&gt;0,VLOOKUP(A184,[1]frente!A$3:E$10000,2,FALSE),"  "),"")</f>
        <v xml:space="preserve">  </v>
      </c>
      <c r="D184" s="218" t="str">
        <f>IFERROR(IF(A184&gt;0,VLOOKUP(A184,[1]frente!A$3:F$10000,3,FALSE),"  "),"")</f>
        <v xml:space="preserve">  </v>
      </c>
      <c r="E184" s="22" t="str">
        <f>IFERROR(IF(A184&gt;0,VLOOKUP(A184,[1]frente!A$3:F$10000,4,FALSE),"  "),"")</f>
        <v xml:space="preserve">  </v>
      </c>
      <c r="F184" s="218" t="str">
        <f t="shared" si="10"/>
        <v xml:space="preserve"> </v>
      </c>
      <c r="G184" s="22" t="str">
        <f t="shared" si="11"/>
        <v xml:space="preserve"> </v>
      </c>
      <c r="J184" s="247" t="str">
        <f>IFERROR(IF(A184&gt;0,VLOOKUP(A184,[1]frente!A$3:E$10000,5,FALSE)*B184,"  "),"")</f>
        <v xml:space="preserve">  </v>
      </c>
    </row>
    <row r="185" spans="1:10" ht="17.399999999999999" x14ac:dyDescent="0.3">
      <c r="A185" s="260"/>
      <c r="B185" s="227"/>
      <c r="C185" s="233" t="str">
        <f>IFERROR(IF(A185&gt;0,VLOOKUP(A185,[1]frente!A$3:E$10000,2,FALSE),"  "),"")</f>
        <v xml:space="preserve">  </v>
      </c>
      <c r="D185" s="218" t="str">
        <f>IFERROR(IF(A185&gt;0,VLOOKUP(A185,[1]frente!A$3:F$10000,3,FALSE),"  "),"")</f>
        <v xml:space="preserve">  </v>
      </c>
      <c r="E185" s="22" t="str">
        <f>IFERROR(IF(A185&gt;0,VLOOKUP(A185,[1]frente!A$3:F$10000,4,FALSE),"  "),"")</f>
        <v xml:space="preserve">  </v>
      </c>
      <c r="F185" s="218" t="str">
        <f t="shared" si="10"/>
        <v xml:space="preserve"> </v>
      </c>
      <c r="G185" s="22" t="str">
        <f t="shared" si="11"/>
        <v xml:space="preserve"> </v>
      </c>
      <c r="J185" s="247" t="str">
        <f>IFERROR(IF(A185&gt;0,VLOOKUP(A185,[1]frente!A$3:E$10000,5,FALSE)*B185,"  "),"")</f>
        <v xml:space="preserve">  </v>
      </c>
    </row>
    <row r="186" spans="1:10" ht="17.399999999999999" x14ac:dyDescent="0.3">
      <c r="A186" s="260"/>
      <c r="B186" s="227"/>
      <c r="C186" s="233" t="str">
        <f>IFERROR(IF(A186&gt;0,VLOOKUP(A186,[1]frente!A$3:E$10000,2,FALSE),"  "),"")</f>
        <v xml:space="preserve">  </v>
      </c>
      <c r="D186" s="218" t="str">
        <f>IFERROR(IF(A186&gt;0,VLOOKUP(A186,[1]frente!A$3:F$10000,3,FALSE),"  "),"")</f>
        <v xml:space="preserve">  </v>
      </c>
      <c r="E186" s="22" t="str">
        <f>IFERROR(IF(A186&gt;0,VLOOKUP(A186,[1]frente!A$3:F$10000,4,FALSE),"  "),"")</f>
        <v xml:space="preserve">  </v>
      </c>
      <c r="F186" s="218" t="str">
        <f t="shared" si="10"/>
        <v xml:space="preserve"> </v>
      </c>
      <c r="G186" s="22" t="str">
        <f t="shared" si="11"/>
        <v xml:space="preserve"> </v>
      </c>
      <c r="J186" s="247" t="str">
        <f>IFERROR(IF(A186&gt;0,VLOOKUP(A186,[1]frente!A$3:E$10000,5,FALSE)*B186,"  "),"")</f>
        <v xml:space="preserve">  </v>
      </c>
    </row>
    <row r="187" spans="1:10" ht="17.399999999999999" x14ac:dyDescent="0.3">
      <c r="A187" s="260"/>
      <c r="B187" s="227"/>
      <c r="C187" s="233" t="str">
        <f>IFERROR(IF(A187&gt;0,VLOOKUP(A187,[1]frente!A$3:E$10000,2,FALSE),"  "),"")</f>
        <v xml:space="preserve">  </v>
      </c>
      <c r="D187" s="218" t="str">
        <f>IFERROR(IF(A187&gt;0,VLOOKUP(A187,[1]frente!A$3:F$10000,3,FALSE),"  "),"")</f>
        <v xml:space="preserve">  </v>
      </c>
      <c r="E187" s="22" t="str">
        <f>IFERROR(IF(A187&gt;0,VLOOKUP(A187,[1]frente!A$3:F$10000,4,FALSE),"  "),"")</f>
        <v xml:space="preserve">  </v>
      </c>
      <c r="F187" s="218" t="str">
        <f t="shared" si="10"/>
        <v xml:space="preserve"> </v>
      </c>
      <c r="G187" s="22" t="str">
        <f t="shared" si="11"/>
        <v xml:space="preserve"> </v>
      </c>
      <c r="J187" s="247" t="str">
        <f>IFERROR(IF(A187&gt;0,VLOOKUP(A187,[1]frente!A$3:E$10000,5,FALSE)*B187,"  "),"")</f>
        <v xml:space="preserve">  </v>
      </c>
    </row>
    <row r="188" spans="1:10" ht="17.399999999999999" x14ac:dyDescent="0.3">
      <c r="A188" s="260"/>
      <c r="B188" s="227"/>
      <c r="C188" s="233" t="str">
        <f>IFERROR(IF(A188&gt;0,VLOOKUP(A188,[1]frente!A$3:E$10000,2,FALSE),"  "),"")</f>
        <v xml:space="preserve">  </v>
      </c>
      <c r="D188" s="218" t="str">
        <f>IFERROR(IF(A188&gt;0,VLOOKUP(A188,[1]frente!A$3:F$10000,3,FALSE),"  "),"")</f>
        <v xml:space="preserve">  </v>
      </c>
      <c r="E188" s="22" t="str">
        <f>IFERROR(IF(A188&gt;0,VLOOKUP(A188,[1]frente!A$3:F$10000,4,FALSE),"  "),"")</f>
        <v xml:space="preserve">  </v>
      </c>
      <c r="F188" s="218" t="str">
        <f t="shared" si="10"/>
        <v xml:space="preserve"> </v>
      </c>
      <c r="G188" s="22" t="str">
        <f t="shared" si="11"/>
        <v xml:space="preserve"> </v>
      </c>
      <c r="J188" s="247" t="str">
        <f>IFERROR(IF(A188&gt;0,VLOOKUP(A188,[1]frente!A$3:E$10000,5,FALSE)*B188,"  "),"")</f>
        <v xml:space="preserve">  </v>
      </c>
    </row>
    <row r="189" spans="1:10" ht="17.399999999999999" x14ac:dyDescent="0.3">
      <c r="A189" s="260"/>
      <c r="B189" s="227"/>
      <c r="C189" s="233" t="str">
        <f>IFERROR(IF(A189&gt;0,VLOOKUP(A189,[1]frente!A$3:E$10000,2,FALSE),"  "),"")</f>
        <v xml:space="preserve">  </v>
      </c>
      <c r="D189" s="218" t="str">
        <f>IFERROR(IF(A189&gt;0,VLOOKUP(A189,[1]frente!A$3:F$10000,3,FALSE),"  "),"")</f>
        <v xml:space="preserve">  </v>
      </c>
      <c r="E189" s="22" t="str">
        <f>IFERROR(IF(A189&gt;0,VLOOKUP(A189,[1]frente!A$3:F$10000,4,FALSE),"  "),"")</f>
        <v xml:space="preserve">  </v>
      </c>
      <c r="F189" s="218" t="str">
        <f t="shared" si="10"/>
        <v xml:space="preserve"> </v>
      </c>
      <c r="G189" s="22" t="str">
        <f t="shared" si="11"/>
        <v xml:space="preserve"> </v>
      </c>
      <c r="J189" s="247" t="str">
        <f>IFERROR(IF(A189&gt;0,VLOOKUP(A189,[1]frente!A$3:E$10000,5,FALSE)*B189,"  "),"")</f>
        <v xml:space="preserve">  </v>
      </c>
    </row>
    <row r="190" spans="1:10" ht="17.399999999999999" x14ac:dyDescent="0.3">
      <c r="A190" s="260"/>
      <c r="B190" s="227"/>
      <c r="C190" s="233" t="str">
        <f>IFERROR(IF(A190&gt;0,VLOOKUP(A190,[1]frente!A$3:E$10000,2,FALSE),"  "),"")</f>
        <v xml:space="preserve">  </v>
      </c>
      <c r="D190" s="218" t="str">
        <f>IFERROR(IF(A190&gt;0,VLOOKUP(A190,[1]frente!A$3:F$10000,3,FALSE),"  "),"")</f>
        <v xml:space="preserve">  </v>
      </c>
      <c r="E190" s="22" t="str">
        <f>IFERROR(IF(A190&gt;0,VLOOKUP(A190,[1]frente!A$3:F$10000,4,FALSE),"  "),"")</f>
        <v xml:space="preserve">  </v>
      </c>
      <c r="F190" s="218" t="str">
        <f t="shared" si="10"/>
        <v xml:space="preserve"> </v>
      </c>
      <c r="G190" s="22" t="str">
        <f t="shared" si="11"/>
        <v xml:space="preserve"> </v>
      </c>
      <c r="J190" s="247" t="str">
        <f>IFERROR(IF(A190&gt;0,VLOOKUP(A190,[1]frente!A$3:E$10000,5,FALSE)*B190,"  "),"")</f>
        <v xml:space="preserve">  </v>
      </c>
    </row>
    <row r="191" spans="1:10" ht="17.399999999999999" x14ac:dyDescent="0.3">
      <c r="A191" s="260"/>
      <c r="B191" s="227"/>
      <c r="C191" s="233" t="str">
        <f>IFERROR(IF(A191&gt;0,VLOOKUP(A191,[1]frente!A$3:E$10000,2,FALSE),"  "),"")</f>
        <v xml:space="preserve">  </v>
      </c>
      <c r="D191" s="218" t="str">
        <f>IFERROR(IF(A191&gt;0,VLOOKUP(A191,[1]frente!A$3:F$10000,3,FALSE),"  "),"")</f>
        <v xml:space="preserve">  </v>
      </c>
      <c r="E191" s="22" t="str">
        <f>IFERROR(IF(A191&gt;0,VLOOKUP(A191,[1]frente!A$3:F$10000,4,FALSE),"  "),"")</f>
        <v xml:space="preserve">  </v>
      </c>
      <c r="F191" s="218" t="str">
        <f t="shared" si="10"/>
        <v xml:space="preserve"> </v>
      </c>
      <c r="G191" s="22" t="str">
        <f t="shared" si="11"/>
        <v xml:space="preserve"> </v>
      </c>
      <c r="J191" s="247" t="str">
        <f>IFERROR(IF(A191&gt;0,VLOOKUP(A191,[1]frente!A$3:E$10000,5,FALSE)*B191,"  "),"")</f>
        <v xml:space="preserve">  </v>
      </c>
    </row>
    <row r="192" spans="1:10" ht="17.399999999999999" x14ac:dyDescent="0.3">
      <c r="A192" s="260"/>
      <c r="B192" s="227"/>
      <c r="C192" s="233" t="str">
        <f>IFERROR(IF(A192&gt;0,VLOOKUP(A192,[1]frente!A$3:E$10000,2,FALSE),"  "),"")</f>
        <v xml:space="preserve">  </v>
      </c>
      <c r="D192" s="218" t="str">
        <f>IFERROR(IF(A192&gt;0,VLOOKUP(A192,[1]frente!A$3:F$10000,3,FALSE),"  "),"")</f>
        <v xml:space="preserve">  </v>
      </c>
      <c r="E192" s="22" t="str">
        <f>IFERROR(IF(A192&gt;0,VLOOKUP(A192,[1]frente!A$3:F$10000,4,FALSE),"  "),"")</f>
        <v xml:space="preserve">  </v>
      </c>
      <c r="F192" s="218" t="str">
        <f t="shared" si="10"/>
        <v xml:space="preserve"> </v>
      </c>
      <c r="G192" s="22" t="str">
        <f t="shared" si="11"/>
        <v xml:space="preserve"> </v>
      </c>
      <c r="J192" s="247" t="str">
        <f>IFERROR(IF(A192&gt;0,VLOOKUP(A192,[1]frente!A$3:E$10000,5,FALSE)*B192,"  "),"")</f>
        <v xml:space="preserve">  </v>
      </c>
    </row>
    <row r="193" spans="1:10" ht="17.399999999999999" x14ac:dyDescent="0.3">
      <c r="A193" s="260"/>
      <c r="B193" s="227"/>
      <c r="C193" s="233" t="str">
        <f>IFERROR(IF(A193&gt;0,VLOOKUP(A193,[1]frente!A$3:E$10000,2,FALSE),"  "),"")</f>
        <v xml:space="preserve">  </v>
      </c>
      <c r="D193" s="218" t="str">
        <f>IFERROR(IF(A193&gt;0,VLOOKUP(A193,[1]frente!A$3:F$10000,3,FALSE),"  "),"")</f>
        <v xml:space="preserve">  </v>
      </c>
      <c r="E193" s="22" t="str">
        <f>IFERROR(IF(A193&gt;0,VLOOKUP(A193,[1]frente!A$3:F$10000,4,FALSE),"  "),"")</f>
        <v xml:space="preserve">  </v>
      </c>
      <c r="F193" s="218" t="str">
        <f t="shared" si="10"/>
        <v xml:space="preserve"> </v>
      </c>
      <c r="G193" s="22" t="str">
        <f t="shared" si="11"/>
        <v xml:space="preserve"> </v>
      </c>
      <c r="J193" s="247" t="str">
        <f>IFERROR(IF(A193&gt;0,VLOOKUP(A193,[1]frente!A$3:E$10000,5,FALSE)*B193,"  "),"")</f>
        <v xml:space="preserve">  </v>
      </c>
    </row>
    <row r="194" spans="1:10" ht="17.399999999999999" x14ac:dyDescent="0.3">
      <c r="A194" s="260"/>
      <c r="B194" s="227"/>
      <c r="C194" s="233" t="str">
        <f>IFERROR(IF(A194&gt;0,VLOOKUP(A194,[1]frente!A$3:E$10000,2,FALSE),"  "),"")</f>
        <v xml:space="preserve">  </v>
      </c>
      <c r="D194" s="218" t="str">
        <f>IFERROR(IF(A194&gt;0,VLOOKUP(A194,[1]frente!A$3:F$10000,3,FALSE),"  "),"")</f>
        <v xml:space="preserve">  </v>
      </c>
      <c r="E194" s="22" t="str">
        <f>IFERROR(IF(A194&gt;0,VLOOKUP(A194,[1]frente!A$3:F$10000,4,FALSE),"  "),"")</f>
        <v xml:space="preserve">  </v>
      </c>
      <c r="F194" s="218" t="str">
        <f t="shared" si="10"/>
        <v xml:space="preserve"> </v>
      </c>
      <c r="G194" s="22" t="str">
        <f t="shared" si="11"/>
        <v xml:space="preserve"> </v>
      </c>
      <c r="J194" s="247" t="str">
        <f>IFERROR(IF(A194&gt;0,VLOOKUP(A194,[1]frente!A$3:E$10000,5,FALSE)*B194,"  "),"")</f>
        <v xml:space="preserve">  </v>
      </c>
    </row>
    <row r="195" spans="1:10" ht="17.399999999999999" x14ac:dyDescent="0.3">
      <c r="A195" s="260"/>
      <c r="B195" s="227"/>
      <c r="C195" s="233" t="str">
        <f>IFERROR(IF(A195&gt;0,VLOOKUP(A195,[1]frente!A$3:E$10000,2,FALSE),"  "),"")</f>
        <v xml:space="preserve">  </v>
      </c>
      <c r="D195" s="218" t="str">
        <f>IFERROR(IF(A195&gt;0,VLOOKUP(A195,[1]frente!A$3:F$10000,3,FALSE),"  "),"")</f>
        <v xml:space="preserve">  </v>
      </c>
      <c r="E195" s="22" t="str">
        <f>IFERROR(IF(A195&gt;0,VLOOKUP(A195,[1]frente!A$3:F$10000,4,FALSE),"  "),"")</f>
        <v xml:space="preserve">  </v>
      </c>
      <c r="F195" s="218" t="str">
        <f t="shared" si="10"/>
        <v xml:space="preserve"> </v>
      </c>
      <c r="G195" s="22" t="str">
        <f t="shared" si="11"/>
        <v xml:space="preserve"> </v>
      </c>
      <c r="J195" s="247" t="str">
        <f>IFERROR(IF(A195&gt;0,VLOOKUP(A195,[1]frente!A$3:E$10000,5,FALSE)*B195,"  "),"")</f>
        <v xml:space="preserve">  </v>
      </c>
    </row>
    <row r="196" spans="1:10" ht="17.399999999999999" x14ac:dyDescent="0.3">
      <c r="A196" s="260"/>
      <c r="B196" s="227"/>
      <c r="C196" s="233" t="str">
        <f>IFERROR(IF(A196&gt;0,VLOOKUP(A196,[1]frente!A$3:E$10000,2,FALSE),"  "),"")</f>
        <v xml:space="preserve">  </v>
      </c>
      <c r="D196" s="218" t="str">
        <f>IFERROR(IF(A196&gt;0,VLOOKUP(A196,[1]frente!A$3:F$10000,3,FALSE),"  "),"")</f>
        <v xml:space="preserve">  </v>
      </c>
      <c r="E196" s="22" t="str">
        <f>IFERROR(IF(A196&gt;0,VLOOKUP(A196,[1]frente!A$3:F$10000,4,FALSE),"  "),"")</f>
        <v xml:space="preserve">  </v>
      </c>
      <c r="F196" s="218" t="str">
        <f t="shared" si="10"/>
        <v xml:space="preserve"> </v>
      </c>
      <c r="G196" s="22" t="str">
        <f t="shared" si="11"/>
        <v xml:space="preserve"> </v>
      </c>
      <c r="J196" s="247" t="str">
        <f>IFERROR(IF(A196&gt;0,VLOOKUP(A196,[1]frente!A$3:E$10000,5,FALSE)*B196,"  "),"")</f>
        <v xml:space="preserve">  </v>
      </c>
    </row>
    <row r="197" spans="1:10" ht="17.399999999999999" x14ac:dyDescent="0.3">
      <c r="A197" s="260"/>
      <c r="B197" s="227"/>
      <c r="C197" s="233" t="str">
        <f>IFERROR(IF(A197&gt;0,VLOOKUP(A197,[1]frente!A$3:E$10000,2,FALSE),"  "),"")</f>
        <v xml:space="preserve">  </v>
      </c>
      <c r="D197" s="218" t="str">
        <f>IFERROR(IF(A197&gt;0,VLOOKUP(A197,[1]frente!A$3:F$10000,3,FALSE),"  "),"")</f>
        <v xml:space="preserve">  </v>
      </c>
      <c r="E197" s="22" t="str">
        <f>IFERROR(IF(A197&gt;0,VLOOKUP(A197,[1]frente!A$3:F$10000,4,FALSE),"  "),"")</f>
        <v xml:space="preserve">  </v>
      </c>
      <c r="F197" s="218" t="str">
        <f t="shared" si="10"/>
        <v xml:space="preserve"> </v>
      </c>
      <c r="G197" s="22" t="str">
        <f t="shared" si="11"/>
        <v xml:space="preserve"> </v>
      </c>
      <c r="J197" s="247" t="str">
        <f>IFERROR(IF(A197&gt;0,VLOOKUP(A197,[1]frente!A$3:E$10000,5,FALSE)*B197,"  "),"")</f>
        <v xml:space="preserve">  </v>
      </c>
    </row>
    <row r="198" spans="1:10" ht="17.399999999999999" x14ac:dyDescent="0.3">
      <c r="A198" s="260"/>
      <c r="B198" s="227"/>
      <c r="C198" s="233" t="str">
        <f>IFERROR(IF(A198&gt;0,VLOOKUP(A198,[1]frente!A$3:E$10000,2,FALSE),"  "),"")</f>
        <v xml:space="preserve">  </v>
      </c>
      <c r="D198" s="218" t="str">
        <f>IFERROR(IF(A198&gt;0,VLOOKUP(A198,[1]frente!A$3:F$10000,3,FALSE),"  "),"")</f>
        <v xml:space="preserve">  </v>
      </c>
      <c r="E198" s="22" t="str">
        <f>IFERROR(IF(A198&gt;0,VLOOKUP(A198,[1]frente!A$3:F$10000,4,FALSE),"  "),"")</f>
        <v xml:space="preserve">  </v>
      </c>
      <c r="F198" s="218" t="str">
        <f t="shared" si="10"/>
        <v xml:space="preserve"> </v>
      </c>
      <c r="G198" s="22" t="str">
        <f t="shared" si="11"/>
        <v xml:space="preserve"> </v>
      </c>
      <c r="J198" s="247" t="str">
        <f>IFERROR(IF(A198&gt;0,VLOOKUP(A198,[1]frente!A$3:E$10000,5,FALSE)*B198,"  "),"")</f>
        <v xml:space="preserve">  </v>
      </c>
    </row>
    <row r="199" spans="1:10" ht="17.399999999999999" x14ac:dyDescent="0.3">
      <c r="A199" s="260"/>
      <c r="B199" s="227"/>
      <c r="C199" s="233" t="str">
        <f>IFERROR(IF(A199&gt;0,VLOOKUP(A199,[1]frente!A$3:E$10000,2,FALSE),"  "),"")</f>
        <v xml:space="preserve">  </v>
      </c>
      <c r="D199" s="218" t="str">
        <f>IFERROR(IF(A199&gt;0,VLOOKUP(A199,[1]frente!A$3:F$10000,3,FALSE),"  "),"")</f>
        <v xml:space="preserve">  </v>
      </c>
      <c r="E199" s="22" t="str">
        <f>IFERROR(IF(A199&gt;0,VLOOKUP(A199,[1]frente!A$3:F$10000,4,FALSE),"  "),"")</f>
        <v xml:space="preserve">  </v>
      </c>
      <c r="F199" s="218" t="str">
        <f t="shared" si="10"/>
        <v xml:space="preserve"> </v>
      </c>
      <c r="G199" s="22" t="str">
        <f t="shared" si="11"/>
        <v xml:space="preserve"> </v>
      </c>
      <c r="J199" s="247" t="str">
        <f>IFERROR(IF(A199&gt;0,VLOOKUP(A199,[1]frente!A$3:E$10000,5,FALSE)*B199,"  "),"")</f>
        <v xml:space="preserve">  </v>
      </c>
    </row>
  </sheetData>
  <sortState xmlns:xlrd2="http://schemas.microsoft.com/office/spreadsheetml/2017/richdata2" ref="A10:H50">
    <sortCondition ref="A9:A50"/>
  </sortState>
  <mergeCells count="7">
    <mergeCell ref="B4:C4"/>
    <mergeCell ref="F3:G3"/>
    <mergeCell ref="D4:E4"/>
    <mergeCell ref="F1:G1"/>
    <mergeCell ref="F2:G2"/>
    <mergeCell ref="B1:D1"/>
    <mergeCell ref="B2:D2"/>
  </mergeCells>
  <dataValidations disablePrompts="1" count="1">
    <dataValidation type="list" allowBlank="1" showInputMessage="1" showErrorMessage="1" sqref="B5" xr:uid="{C7F1F708-9487-472E-B6A8-1758C7FA7A92}">
      <formula1>$S$3:$S$4</formula1>
    </dataValidation>
  </dataValidations>
  <pageMargins left="0.19685039370078741" right="0.19685039370078741" top="0.15748031496062992" bottom="0" header="0" footer="0"/>
  <pageSetup paperSize="9" scale="94" orientation="portrait" r:id="rId1"/>
  <colBreaks count="1" manualBreakCount="1">
    <brk id="7" max="1048575" man="1"/>
  </colBreak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00"/>
  <sheetViews>
    <sheetView workbookViewId="0">
      <selection activeCell="A17" sqref="A17"/>
    </sheetView>
  </sheetViews>
  <sheetFormatPr defaultColWidth="9.109375" defaultRowHeight="13.2" x14ac:dyDescent="0.25"/>
  <cols>
    <col min="1" max="1" width="11.44140625" customWidth="1"/>
    <col min="2" max="2" width="19.109375" bestFit="1" customWidth="1"/>
    <col min="3" max="3" width="10.5546875" bestFit="1" customWidth="1"/>
    <col min="4" max="4" width="3.88671875" bestFit="1" customWidth="1"/>
    <col min="5" max="5" width="10.44140625" bestFit="1" customWidth="1"/>
    <col min="6" max="6" width="19.5546875" bestFit="1" customWidth="1"/>
    <col min="7" max="7" width="17.109375" bestFit="1" customWidth="1"/>
    <col min="8" max="8" width="8" bestFit="1" customWidth="1"/>
    <col min="9" max="12" width="13.88671875" bestFit="1" customWidth="1"/>
    <col min="13" max="13" width="13.6640625" bestFit="1" customWidth="1"/>
    <col min="14" max="21" width="30.44140625" bestFit="1" customWidth="1"/>
    <col min="22" max="256" width="11.44140625" customWidth="1"/>
  </cols>
  <sheetData>
    <row r="1" spans="1:21" x14ac:dyDescent="0.25">
      <c r="A1" s="32" t="s">
        <v>751</v>
      </c>
      <c r="B1" t="s">
        <v>752</v>
      </c>
      <c r="F1" t="s">
        <v>731</v>
      </c>
      <c r="G1">
        <f>+Pedido!C1</f>
        <v>0</v>
      </c>
    </row>
    <row r="2" spans="1:21" x14ac:dyDescent="0.25">
      <c r="A2" s="33" t="s">
        <v>751</v>
      </c>
      <c r="B2" t="s">
        <v>753</v>
      </c>
      <c r="F2" t="s">
        <v>754</v>
      </c>
      <c r="G2" t="str">
        <f>+Pedido!F1</f>
        <v>9067</v>
      </c>
    </row>
    <row r="3" spans="1:21" x14ac:dyDescent="0.25">
      <c r="A3" s="34" t="s">
        <v>751</v>
      </c>
      <c r="B3" t="s">
        <v>755</v>
      </c>
    </row>
    <row r="4" spans="1:21" x14ac:dyDescent="0.25">
      <c r="A4" t="s">
        <v>751</v>
      </c>
    </row>
    <row r="5" spans="1:21" s="35" customFormat="1" x14ac:dyDescent="0.25">
      <c r="A5" s="35" t="s">
        <v>751</v>
      </c>
    </row>
    <row r="6" spans="1:21" s="1" customFormat="1" x14ac:dyDescent="0.25">
      <c r="A6" s="36" t="s">
        <v>756</v>
      </c>
      <c r="B6" s="18" t="s">
        <v>757</v>
      </c>
      <c r="C6" s="37" t="s">
        <v>758</v>
      </c>
      <c r="D6" s="37" t="s">
        <v>759</v>
      </c>
      <c r="E6" s="36" t="s">
        <v>760</v>
      </c>
      <c r="F6" s="18" t="s">
        <v>761</v>
      </c>
      <c r="G6" s="18" t="s">
        <v>762</v>
      </c>
      <c r="H6" s="37" t="s">
        <v>59</v>
      </c>
      <c r="I6" s="18" t="s">
        <v>763</v>
      </c>
      <c r="J6" s="18" t="s">
        <v>764</v>
      </c>
      <c r="K6" s="18" t="s">
        <v>765</v>
      </c>
      <c r="L6" s="18" t="s">
        <v>766</v>
      </c>
      <c r="M6" s="18" t="s">
        <v>767</v>
      </c>
      <c r="N6" s="37" t="s">
        <v>768</v>
      </c>
      <c r="O6" s="37" t="s">
        <v>769</v>
      </c>
      <c r="P6" s="37" t="s">
        <v>770</v>
      </c>
      <c r="Q6" s="37" t="s">
        <v>771</v>
      </c>
      <c r="R6" s="37" t="s">
        <v>772</v>
      </c>
      <c r="S6" s="37" t="s">
        <v>773</v>
      </c>
      <c r="T6" s="37" t="s">
        <v>774</v>
      </c>
      <c r="U6" s="37" t="s">
        <v>775</v>
      </c>
    </row>
    <row r="7" spans="1:21" x14ac:dyDescent="0.25">
      <c r="A7">
        <f>+Pedido!A10</f>
        <v>12310</v>
      </c>
      <c r="C7">
        <v>1</v>
      </c>
      <c r="D7" t="s">
        <v>776</v>
      </c>
      <c r="E7">
        <f>+Pedido!B10</f>
        <v>2</v>
      </c>
      <c r="U7" t="s">
        <v>777</v>
      </c>
    </row>
    <row r="8" spans="1:21" x14ac:dyDescent="0.25">
      <c r="A8">
        <f>+Pedido!A11</f>
        <v>793</v>
      </c>
      <c r="C8">
        <v>1</v>
      </c>
      <c r="D8" t="s">
        <v>776</v>
      </c>
      <c r="E8">
        <f>+Pedido!B11</f>
        <v>12</v>
      </c>
      <c r="U8" t="s">
        <v>777</v>
      </c>
    </row>
    <row r="9" spans="1:21" x14ac:dyDescent="0.25">
      <c r="A9">
        <f>+Pedido!A12</f>
        <v>12819</v>
      </c>
      <c r="C9">
        <v>1</v>
      </c>
      <c r="D9" t="s">
        <v>776</v>
      </c>
      <c r="E9">
        <f>+Pedido!B12</f>
        <v>2</v>
      </c>
      <c r="U9" t="s">
        <v>777</v>
      </c>
    </row>
    <row r="10" spans="1:21" x14ac:dyDescent="0.25">
      <c r="A10">
        <f>+Pedido!A13</f>
        <v>12820</v>
      </c>
      <c r="C10">
        <v>1</v>
      </c>
      <c r="D10" t="s">
        <v>776</v>
      </c>
      <c r="E10">
        <f>+Pedido!B13</f>
        <v>2</v>
      </c>
      <c r="U10" t="s">
        <v>777</v>
      </c>
    </row>
    <row r="11" spans="1:21" x14ac:dyDescent="0.25">
      <c r="A11">
        <f>+Pedido!A14</f>
        <v>12823</v>
      </c>
      <c r="C11">
        <v>1</v>
      </c>
      <c r="D11" t="s">
        <v>776</v>
      </c>
      <c r="E11">
        <f>+Pedido!B14</f>
        <v>2</v>
      </c>
      <c r="U11" t="s">
        <v>777</v>
      </c>
    </row>
    <row r="12" spans="1:21" x14ac:dyDescent="0.25">
      <c r="A12">
        <f>+Pedido!A15</f>
        <v>0</v>
      </c>
      <c r="C12">
        <v>1</v>
      </c>
      <c r="D12" t="s">
        <v>776</v>
      </c>
      <c r="E12">
        <f>+Pedido!B15</f>
        <v>0</v>
      </c>
      <c r="U12" t="s">
        <v>777</v>
      </c>
    </row>
    <row r="13" spans="1:21" x14ac:dyDescent="0.25">
      <c r="A13">
        <f>+Pedido!A16</f>
        <v>0</v>
      </c>
      <c r="C13">
        <v>1</v>
      </c>
      <c r="D13" t="s">
        <v>776</v>
      </c>
      <c r="E13">
        <f>+Pedido!B16</f>
        <v>0</v>
      </c>
      <c r="U13" t="s">
        <v>777</v>
      </c>
    </row>
    <row r="14" spans="1:21" x14ac:dyDescent="0.25">
      <c r="A14">
        <f>+Pedido!A17</f>
        <v>0</v>
      </c>
      <c r="C14">
        <v>1</v>
      </c>
      <c r="D14" t="s">
        <v>776</v>
      </c>
      <c r="E14">
        <f>+Pedido!B17</f>
        <v>0</v>
      </c>
      <c r="U14" t="s">
        <v>777</v>
      </c>
    </row>
    <row r="15" spans="1:21" x14ac:dyDescent="0.25">
      <c r="A15">
        <f>+Pedido!A18</f>
        <v>0</v>
      </c>
      <c r="C15">
        <v>1</v>
      </c>
      <c r="D15" t="s">
        <v>776</v>
      </c>
      <c r="E15">
        <f>+Pedido!B18</f>
        <v>0</v>
      </c>
      <c r="U15" t="s">
        <v>777</v>
      </c>
    </row>
    <row r="16" spans="1:21" x14ac:dyDescent="0.25">
      <c r="A16">
        <f>+Pedido!A19</f>
        <v>0</v>
      </c>
      <c r="C16">
        <v>1</v>
      </c>
      <c r="D16" t="s">
        <v>776</v>
      </c>
      <c r="E16">
        <f>+Pedido!B19</f>
        <v>0</v>
      </c>
      <c r="U16" t="s">
        <v>777</v>
      </c>
    </row>
    <row r="17" spans="1:21" x14ac:dyDescent="0.25">
      <c r="A17">
        <f>+Pedido!A20</f>
        <v>0</v>
      </c>
      <c r="C17">
        <v>1</v>
      </c>
      <c r="D17" t="s">
        <v>776</v>
      </c>
      <c r="E17">
        <f>+Pedido!B20</f>
        <v>0</v>
      </c>
      <c r="U17" t="s">
        <v>777</v>
      </c>
    </row>
    <row r="18" spans="1:21" x14ac:dyDescent="0.25">
      <c r="A18">
        <f>+Pedido!A21</f>
        <v>0</v>
      </c>
      <c r="C18">
        <v>1</v>
      </c>
      <c r="D18" t="s">
        <v>776</v>
      </c>
      <c r="E18">
        <f>+Pedido!B21</f>
        <v>0</v>
      </c>
      <c r="U18" t="s">
        <v>777</v>
      </c>
    </row>
    <row r="19" spans="1:21" x14ac:dyDescent="0.25">
      <c r="A19">
        <f>+Pedido!A22</f>
        <v>0</v>
      </c>
      <c r="C19">
        <v>1</v>
      </c>
      <c r="D19" t="s">
        <v>776</v>
      </c>
      <c r="E19">
        <f>+Pedido!B22</f>
        <v>0</v>
      </c>
      <c r="U19" t="s">
        <v>777</v>
      </c>
    </row>
    <row r="20" spans="1:21" x14ac:dyDescent="0.25">
      <c r="A20">
        <f>+Pedido!A23</f>
        <v>0</v>
      </c>
      <c r="C20">
        <v>1</v>
      </c>
      <c r="D20" t="s">
        <v>776</v>
      </c>
      <c r="E20">
        <f>+Pedido!B23</f>
        <v>0</v>
      </c>
      <c r="U20" t="s">
        <v>777</v>
      </c>
    </row>
    <row r="21" spans="1:21" x14ac:dyDescent="0.25">
      <c r="A21">
        <f>+Pedido!A24</f>
        <v>0</v>
      </c>
      <c r="C21">
        <v>1</v>
      </c>
      <c r="D21" t="s">
        <v>776</v>
      </c>
      <c r="E21">
        <f>+Pedido!B24</f>
        <v>0</v>
      </c>
      <c r="U21" t="s">
        <v>777</v>
      </c>
    </row>
    <row r="22" spans="1:21" x14ac:dyDescent="0.25">
      <c r="A22">
        <f>+Pedido!A25</f>
        <v>0</v>
      </c>
      <c r="C22">
        <v>1</v>
      </c>
      <c r="D22" t="s">
        <v>776</v>
      </c>
      <c r="E22">
        <f>+Pedido!B25</f>
        <v>0</v>
      </c>
      <c r="U22" t="s">
        <v>777</v>
      </c>
    </row>
    <row r="23" spans="1:21" x14ac:dyDescent="0.25">
      <c r="A23">
        <f>+Pedido!A26</f>
        <v>0</v>
      </c>
      <c r="C23">
        <v>1</v>
      </c>
      <c r="D23" t="s">
        <v>776</v>
      </c>
      <c r="E23">
        <f>+Pedido!B26</f>
        <v>0</v>
      </c>
      <c r="U23" t="s">
        <v>777</v>
      </c>
    </row>
    <row r="24" spans="1:21" x14ac:dyDescent="0.25">
      <c r="A24">
        <f>+Pedido!A27</f>
        <v>0</v>
      </c>
      <c r="C24">
        <v>1</v>
      </c>
      <c r="D24" t="s">
        <v>776</v>
      </c>
      <c r="E24">
        <f>+Pedido!B27</f>
        <v>0</v>
      </c>
      <c r="U24" t="s">
        <v>777</v>
      </c>
    </row>
    <row r="25" spans="1:21" x14ac:dyDescent="0.25">
      <c r="A25">
        <f>+Pedido!A28</f>
        <v>0</v>
      </c>
      <c r="C25">
        <v>1</v>
      </c>
      <c r="D25" t="s">
        <v>776</v>
      </c>
      <c r="E25">
        <f>+Pedido!B28</f>
        <v>0</v>
      </c>
      <c r="U25" t="s">
        <v>777</v>
      </c>
    </row>
    <row r="26" spans="1:21" x14ac:dyDescent="0.25">
      <c r="A26">
        <f>+Pedido!A29</f>
        <v>0</v>
      </c>
      <c r="C26">
        <v>1</v>
      </c>
      <c r="D26" t="s">
        <v>776</v>
      </c>
      <c r="E26">
        <f>+Pedido!B29</f>
        <v>0</v>
      </c>
      <c r="U26" t="s">
        <v>777</v>
      </c>
    </row>
    <row r="27" spans="1:21" x14ac:dyDescent="0.25">
      <c r="A27">
        <f>+Pedido!A30</f>
        <v>0</v>
      </c>
      <c r="C27">
        <v>1</v>
      </c>
      <c r="D27" t="s">
        <v>776</v>
      </c>
      <c r="E27">
        <f>+Pedido!B30</f>
        <v>0</v>
      </c>
      <c r="U27" t="s">
        <v>777</v>
      </c>
    </row>
    <row r="28" spans="1:21" x14ac:dyDescent="0.25">
      <c r="A28">
        <f>+Pedido!A31</f>
        <v>0</v>
      </c>
      <c r="C28">
        <v>1</v>
      </c>
      <c r="D28" t="s">
        <v>776</v>
      </c>
      <c r="E28">
        <f>+Pedido!B31</f>
        <v>0</v>
      </c>
      <c r="U28" t="s">
        <v>777</v>
      </c>
    </row>
    <row r="29" spans="1:21" x14ac:dyDescent="0.25">
      <c r="A29">
        <f>+Pedido!A32</f>
        <v>0</v>
      </c>
      <c r="C29">
        <v>1</v>
      </c>
      <c r="D29" t="s">
        <v>776</v>
      </c>
      <c r="E29">
        <f>+Pedido!B32</f>
        <v>0</v>
      </c>
      <c r="U29" t="s">
        <v>777</v>
      </c>
    </row>
    <row r="30" spans="1:21" x14ac:dyDescent="0.25">
      <c r="A30">
        <f>+Pedido!A33</f>
        <v>0</v>
      </c>
      <c r="C30">
        <v>1</v>
      </c>
      <c r="D30" t="s">
        <v>776</v>
      </c>
      <c r="E30">
        <f>+Pedido!B33</f>
        <v>0</v>
      </c>
      <c r="U30" t="s">
        <v>777</v>
      </c>
    </row>
    <row r="31" spans="1:21" x14ac:dyDescent="0.25">
      <c r="A31">
        <f>+Pedido!A34</f>
        <v>0</v>
      </c>
      <c r="C31">
        <v>1</v>
      </c>
      <c r="D31" t="s">
        <v>776</v>
      </c>
      <c r="E31">
        <f>+Pedido!B34</f>
        <v>0</v>
      </c>
      <c r="U31" t="s">
        <v>777</v>
      </c>
    </row>
    <row r="32" spans="1:21" x14ac:dyDescent="0.25">
      <c r="A32">
        <f>+Pedido!A35</f>
        <v>0</v>
      </c>
      <c r="C32">
        <v>1</v>
      </c>
      <c r="D32" t="s">
        <v>776</v>
      </c>
      <c r="E32">
        <f>+Pedido!B35</f>
        <v>0</v>
      </c>
      <c r="U32" t="s">
        <v>777</v>
      </c>
    </row>
    <row r="33" spans="1:21" x14ac:dyDescent="0.25">
      <c r="A33">
        <f>+Pedido!A36</f>
        <v>0</v>
      </c>
      <c r="C33">
        <v>1</v>
      </c>
      <c r="D33" t="s">
        <v>776</v>
      </c>
      <c r="E33">
        <f>+Pedido!B36</f>
        <v>0</v>
      </c>
      <c r="U33" t="s">
        <v>777</v>
      </c>
    </row>
    <row r="34" spans="1:21" x14ac:dyDescent="0.25">
      <c r="A34">
        <f>+Pedido!A37</f>
        <v>0</v>
      </c>
      <c r="C34">
        <v>1</v>
      </c>
      <c r="D34" t="s">
        <v>776</v>
      </c>
      <c r="E34">
        <f>+Pedido!B37</f>
        <v>0</v>
      </c>
      <c r="U34" t="s">
        <v>777</v>
      </c>
    </row>
    <row r="35" spans="1:21" x14ac:dyDescent="0.25">
      <c r="A35">
        <f>+Pedido!A38</f>
        <v>0</v>
      </c>
      <c r="C35">
        <v>1</v>
      </c>
      <c r="D35" t="s">
        <v>776</v>
      </c>
      <c r="E35">
        <f>+Pedido!B38</f>
        <v>0</v>
      </c>
      <c r="U35" t="s">
        <v>777</v>
      </c>
    </row>
    <row r="36" spans="1:21" x14ac:dyDescent="0.25">
      <c r="A36">
        <f>+Pedido!A39</f>
        <v>0</v>
      </c>
      <c r="C36">
        <v>1</v>
      </c>
      <c r="D36" t="s">
        <v>776</v>
      </c>
      <c r="E36">
        <f>+Pedido!B39</f>
        <v>0</v>
      </c>
      <c r="U36" t="s">
        <v>777</v>
      </c>
    </row>
    <row r="37" spans="1:21" x14ac:dyDescent="0.25">
      <c r="A37">
        <f>+Pedido!A40</f>
        <v>0</v>
      </c>
      <c r="C37">
        <v>1</v>
      </c>
      <c r="D37" t="s">
        <v>776</v>
      </c>
      <c r="E37">
        <f>+Pedido!B40</f>
        <v>0</v>
      </c>
      <c r="U37" t="s">
        <v>777</v>
      </c>
    </row>
    <row r="38" spans="1:21" x14ac:dyDescent="0.25">
      <c r="A38">
        <f>+Pedido!A41</f>
        <v>0</v>
      </c>
      <c r="C38">
        <v>1</v>
      </c>
      <c r="D38" t="s">
        <v>776</v>
      </c>
      <c r="E38">
        <f>+Pedido!B41</f>
        <v>0</v>
      </c>
      <c r="U38" t="s">
        <v>777</v>
      </c>
    </row>
    <row r="39" spans="1:21" x14ac:dyDescent="0.25">
      <c r="A39">
        <f>+Pedido!A42</f>
        <v>0</v>
      </c>
      <c r="C39">
        <v>1</v>
      </c>
      <c r="D39" t="s">
        <v>776</v>
      </c>
      <c r="E39">
        <f>+Pedido!B42</f>
        <v>0</v>
      </c>
      <c r="U39" t="s">
        <v>777</v>
      </c>
    </row>
    <row r="40" spans="1:21" x14ac:dyDescent="0.25">
      <c r="A40">
        <f>+Pedido!A43</f>
        <v>0</v>
      </c>
      <c r="C40">
        <v>1</v>
      </c>
      <c r="D40" t="s">
        <v>776</v>
      </c>
      <c r="E40">
        <f>+Pedido!B43</f>
        <v>0</v>
      </c>
      <c r="U40" t="s">
        <v>777</v>
      </c>
    </row>
    <row r="41" spans="1:21" x14ac:dyDescent="0.25">
      <c r="A41">
        <f>+Pedido!A44</f>
        <v>0</v>
      </c>
      <c r="C41">
        <v>1</v>
      </c>
      <c r="D41" t="s">
        <v>776</v>
      </c>
      <c r="E41">
        <f>+Pedido!B44</f>
        <v>0</v>
      </c>
      <c r="U41" t="s">
        <v>777</v>
      </c>
    </row>
    <row r="42" spans="1:21" x14ac:dyDescent="0.25">
      <c r="A42">
        <f>+Pedido!A45</f>
        <v>0</v>
      </c>
      <c r="C42">
        <v>1</v>
      </c>
      <c r="D42" t="s">
        <v>776</v>
      </c>
      <c r="E42">
        <f>+Pedido!B45</f>
        <v>0</v>
      </c>
      <c r="U42" t="s">
        <v>777</v>
      </c>
    </row>
    <row r="43" spans="1:21" x14ac:dyDescent="0.25">
      <c r="A43">
        <f>+Pedido!A46</f>
        <v>0</v>
      </c>
      <c r="C43">
        <v>1</v>
      </c>
      <c r="D43" t="s">
        <v>776</v>
      </c>
      <c r="E43">
        <f>+Pedido!B46</f>
        <v>0</v>
      </c>
      <c r="U43" t="s">
        <v>777</v>
      </c>
    </row>
    <row r="44" spans="1:21" x14ac:dyDescent="0.25">
      <c r="A44">
        <f>+Pedido!A47</f>
        <v>0</v>
      </c>
      <c r="C44">
        <v>1</v>
      </c>
      <c r="D44" t="s">
        <v>776</v>
      </c>
      <c r="E44">
        <f>+Pedido!B47</f>
        <v>0</v>
      </c>
      <c r="U44" t="s">
        <v>777</v>
      </c>
    </row>
    <row r="45" spans="1:21" x14ac:dyDescent="0.25">
      <c r="A45">
        <f>+Pedido!A48</f>
        <v>0</v>
      </c>
      <c r="C45">
        <v>1</v>
      </c>
      <c r="D45" t="s">
        <v>776</v>
      </c>
      <c r="E45">
        <f>+Pedido!B48</f>
        <v>0</v>
      </c>
      <c r="U45" t="s">
        <v>777</v>
      </c>
    </row>
    <row r="46" spans="1:21" x14ac:dyDescent="0.25">
      <c r="A46">
        <f>+Pedido!A49</f>
        <v>0</v>
      </c>
      <c r="C46">
        <v>1</v>
      </c>
      <c r="D46" t="s">
        <v>776</v>
      </c>
      <c r="E46">
        <f>+Pedido!B49</f>
        <v>0</v>
      </c>
      <c r="U46" t="s">
        <v>777</v>
      </c>
    </row>
    <row r="47" spans="1:21" x14ac:dyDescent="0.25">
      <c r="A47">
        <f>+Pedido!A50</f>
        <v>0</v>
      </c>
      <c r="C47">
        <v>1</v>
      </c>
      <c r="D47" t="s">
        <v>776</v>
      </c>
      <c r="E47">
        <f>+Pedido!B50</f>
        <v>0</v>
      </c>
      <c r="U47" t="s">
        <v>777</v>
      </c>
    </row>
    <row r="48" spans="1:21" x14ac:dyDescent="0.25">
      <c r="A48">
        <f>+Pedido!A51</f>
        <v>0</v>
      </c>
      <c r="C48">
        <v>1</v>
      </c>
      <c r="D48" t="s">
        <v>776</v>
      </c>
      <c r="E48">
        <f>+Pedido!B51</f>
        <v>0</v>
      </c>
      <c r="U48" t="s">
        <v>777</v>
      </c>
    </row>
    <row r="49" spans="1:21" x14ac:dyDescent="0.25">
      <c r="A49">
        <f>+Pedido!A52</f>
        <v>0</v>
      </c>
      <c r="C49">
        <v>1</v>
      </c>
      <c r="D49" t="s">
        <v>776</v>
      </c>
      <c r="E49">
        <f>+Pedido!B52</f>
        <v>0</v>
      </c>
      <c r="U49" t="s">
        <v>777</v>
      </c>
    </row>
    <row r="50" spans="1:21" x14ac:dyDescent="0.25">
      <c r="A50">
        <f>+Pedido!A53</f>
        <v>0</v>
      </c>
      <c r="C50">
        <v>1</v>
      </c>
      <c r="D50" t="s">
        <v>776</v>
      </c>
      <c r="E50">
        <f>+Pedido!B53</f>
        <v>0</v>
      </c>
      <c r="U50" t="s">
        <v>777</v>
      </c>
    </row>
    <row r="51" spans="1:21" x14ac:dyDescent="0.25">
      <c r="A51">
        <f>+Pedido!A54</f>
        <v>0</v>
      </c>
      <c r="C51">
        <v>1</v>
      </c>
      <c r="D51" t="s">
        <v>776</v>
      </c>
      <c r="E51">
        <f>+Pedido!B54</f>
        <v>0</v>
      </c>
      <c r="U51" t="s">
        <v>777</v>
      </c>
    </row>
    <row r="52" spans="1:21" x14ac:dyDescent="0.25">
      <c r="A52">
        <f>+Pedido!A55</f>
        <v>0</v>
      </c>
      <c r="C52">
        <v>1</v>
      </c>
      <c r="D52" t="s">
        <v>776</v>
      </c>
      <c r="E52">
        <f>+Pedido!B55</f>
        <v>0</v>
      </c>
      <c r="U52" t="s">
        <v>777</v>
      </c>
    </row>
    <row r="53" spans="1:21" x14ac:dyDescent="0.25">
      <c r="A53">
        <f>+Pedido!A56</f>
        <v>0</v>
      </c>
      <c r="C53">
        <v>1</v>
      </c>
      <c r="D53" t="s">
        <v>776</v>
      </c>
      <c r="E53">
        <f>+Pedido!B56</f>
        <v>0</v>
      </c>
      <c r="U53" t="s">
        <v>777</v>
      </c>
    </row>
    <row r="54" spans="1:21" x14ac:dyDescent="0.25">
      <c r="A54">
        <f>+Pedido!A57</f>
        <v>0</v>
      </c>
      <c r="C54">
        <v>1</v>
      </c>
      <c r="D54" t="s">
        <v>776</v>
      </c>
      <c r="E54">
        <f>+Pedido!B57</f>
        <v>0</v>
      </c>
      <c r="U54" t="s">
        <v>777</v>
      </c>
    </row>
    <row r="55" spans="1:21" x14ac:dyDescent="0.25">
      <c r="A55">
        <f>+Pedido!A58</f>
        <v>0</v>
      </c>
      <c r="C55">
        <v>1</v>
      </c>
      <c r="D55" t="s">
        <v>776</v>
      </c>
      <c r="E55">
        <f>+Pedido!B58</f>
        <v>0</v>
      </c>
      <c r="U55" t="s">
        <v>777</v>
      </c>
    </row>
    <row r="56" spans="1:21" x14ac:dyDescent="0.25">
      <c r="A56">
        <f>+Pedido!A59</f>
        <v>0</v>
      </c>
      <c r="C56">
        <v>1</v>
      </c>
      <c r="D56" t="s">
        <v>776</v>
      </c>
      <c r="E56">
        <f>+Pedido!B59</f>
        <v>0</v>
      </c>
      <c r="U56" t="s">
        <v>777</v>
      </c>
    </row>
    <row r="57" spans="1:21" x14ac:dyDescent="0.25">
      <c r="A57">
        <f>+Pedido!A60</f>
        <v>0</v>
      </c>
      <c r="C57">
        <v>1</v>
      </c>
      <c r="D57" t="s">
        <v>776</v>
      </c>
      <c r="E57">
        <f>+Pedido!B60</f>
        <v>0</v>
      </c>
      <c r="U57" t="s">
        <v>777</v>
      </c>
    </row>
    <row r="58" spans="1:21" x14ac:dyDescent="0.25">
      <c r="A58">
        <f>+Pedido!A61</f>
        <v>0</v>
      </c>
      <c r="C58">
        <v>1</v>
      </c>
      <c r="D58" t="s">
        <v>776</v>
      </c>
      <c r="E58">
        <f>+Pedido!B61</f>
        <v>0</v>
      </c>
      <c r="U58" t="s">
        <v>777</v>
      </c>
    </row>
    <row r="59" spans="1:21" x14ac:dyDescent="0.25">
      <c r="A59">
        <f>+Pedido!A62</f>
        <v>0</v>
      </c>
      <c r="C59">
        <v>1</v>
      </c>
      <c r="D59" t="s">
        <v>776</v>
      </c>
      <c r="E59">
        <f>+Pedido!B62</f>
        <v>0</v>
      </c>
      <c r="U59" t="s">
        <v>777</v>
      </c>
    </row>
    <row r="60" spans="1:21" x14ac:dyDescent="0.25">
      <c r="A60">
        <f>+Pedido!A63</f>
        <v>0</v>
      </c>
      <c r="C60">
        <v>1</v>
      </c>
      <c r="D60" t="s">
        <v>776</v>
      </c>
      <c r="E60">
        <f>+Pedido!B63</f>
        <v>0</v>
      </c>
      <c r="U60" t="s">
        <v>777</v>
      </c>
    </row>
    <row r="61" spans="1:21" x14ac:dyDescent="0.25">
      <c r="A61">
        <f>+Pedido!A64</f>
        <v>0</v>
      </c>
      <c r="C61">
        <v>1</v>
      </c>
      <c r="D61" t="s">
        <v>776</v>
      </c>
      <c r="E61">
        <f>+Pedido!B64</f>
        <v>0</v>
      </c>
      <c r="U61" t="s">
        <v>777</v>
      </c>
    </row>
    <row r="62" spans="1:21" x14ac:dyDescent="0.25">
      <c r="A62">
        <f>+Pedido!A65</f>
        <v>0</v>
      </c>
      <c r="C62">
        <v>1</v>
      </c>
      <c r="D62" t="s">
        <v>776</v>
      </c>
      <c r="E62">
        <f>+Pedido!B65</f>
        <v>0</v>
      </c>
      <c r="U62" t="s">
        <v>777</v>
      </c>
    </row>
    <row r="63" spans="1:21" x14ac:dyDescent="0.25">
      <c r="A63">
        <f>+Pedido!A66</f>
        <v>0</v>
      </c>
      <c r="C63">
        <v>1</v>
      </c>
      <c r="D63" t="s">
        <v>776</v>
      </c>
      <c r="E63">
        <f>+Pedido!B66</f>
        <v>0</v>
      </c>
      <c r="U63" t="s">
        <v>777</v>
      </c>
    </row>
    <row r="64" spans="1:21" x14ac:dyDescent="0.25">
      <c r="A64">
        <f>+Pedido!A67</f>
        <v>0</v>
      </c>
      <c r="C64">
        <v>1</v>
      </c>
      <c r="D64" t="s">
        <v>776</v>
      </c>
      <c r="E64">
        <f>+Pedido!B67</f>
        <v>0</v>
      </c>
      <c r="U64" t="s">
        <v>777</v>
      </c>
    </row>
    <row r="65" spans="1:21" x14ac:dyDescent="0.25">
      <c r="A65">
        <f>+Pedido!A68</f>
        <v>0</v>
      </c>
      <c r="C65">
        <v>1</v>
      </c>
      <c r="D65" t="s">
        <v>776</v>
      </c>
      <c r="E65">
        <f>+Pedido!B68</f>
        <v>0</v>
      </c>
      <c r="U65" t="s">
        <v>777</v>
      </c>
    </row>
    <row r="66" spans="1:21" x14ac:dyDescent="0.25">
      <c r="A66">
        <f>+Pedido!A69</f>
        <v>0</v>
      </c>
      <c r="C66">
        <v>1</v>
      </c>
      <c r="D66" t="s">
        <v>776</v>
      </c>
      <c r="E66">
        <f>+Pedido!B69</f>
        <v>0</v>
      </c>
      <c r="U66" t="s">
        <v>777</v>
      </c>
    </row>
    <row r="67" spans="1:21" x14ac:dyDescent="0.25">
      <c r="A67">
        <f>+Pedido!A70</f>
        <v>0</v>
      </c>
      <c r="C67">
        <v>1</v>
      </c>
      <c r="D67" t="s">
        <v>776</v>
      </c>
      <c r="E67">
        <f>+Pedido!B70</f>
        <v>0</v>
      </c>
      <c r="U67" t="s">
        <v>777</v>
      </c>
    </row>
    <row r="68" spans="1:21" x14ac:dyDescent="0.25">
      <c r="A68">
        <f>+Pedido!A71</f>
        <v>0</v>
      </c>
      <c r="C68">
        <v>1</v>
      </c>
      <c r="D68" t="s">
        <v>776</v>
      </c>
      <c r="E68">
        <f>+Pedido!B71</f>
        <v>0</v>
      </c>
      <c r="U68" t="s">
        <v>777</v>
      </c>
    </row>
    <row r="69" spans="1:21" x14ac:dyDescent="0.25">
      <c r="A69">
        <f>+Pedido!A72</f>
        <v>0</v>
      </c>
      <c r="C69">
        <v>1</v>
      </c>
      <c r="D69" t="s">
        <v>776</v>
      </c>
      <c r="E69">
        <f>+Pedido!B72</f>
        <v>0</v>
      </c>
      <c r="U69" t="s">
        <v>777</v>
      </c>
    </row>
    <row r="70" spans="1:21" x14ac:dyDescent="0.25">
      <c r="A70">
        <f>+Pedido!A73</f>
        <v>0</v>
      </c>
      <c r="C70">
        <v>1</v>
      </c>
      <c r="D70" t="s">
        <v>776</v>
      </c>
      <c r="E70">
        <f>+Pedido!B73</f>
        <v>0</v>
      </c>
      <c r="U70" t="s">
        <v>777</v>
      </c>
    </row>
    <row r="71" spans="1:21" x14ac:dyDescent="0.25">
      <c r="A71">
        <f>+Pedido!A74</f>
        <v>0</v>
      </c>
      <c r="C71">
        <v>1</v>
      </c>
      <c r="D71" t="s">
        <v>776</v>
      </c>
      <c r="E71">
        <f>+Pedido!B74</f>
        <v>0</v>
      </c>
      <c r="U71" t="s">
        <v>777</v>
      </c>
    </row>
    <row r="72" spans="1:21" x14ac:dyDescent="0.25">
      <c r="A72">
        <f>+Pedido!A75</f>
        <v>0</v>
      </c>
      <c r="C72">
        <v>1</v>
      </c>
      <c r="D72" t="s">
        <v>776</v>
      </c>
      <c r="E72">
        <f>+Pedido!B75</f>
        <v>0</v>
      </c>
      <c r="U72" t="s">
        <v>777</v>
      </c>
    </row>
    <row r="73" spans="1:21" x14ac:dyDescent="0.25">
      <c r="A73">
        <f>+Pedido!A76</f>
        <v>0</v>
      </c>
      <c r="C73">
        <v>1</v>
      </c>
      <c r="D73" t="s">
        <v>776</v>
      </c>
      <c r="E73">
        <f>+Pedido!B76</f>
        <v>0</v>
      </c>
      <c r="U73" t="s">
        <v>777</v>
      </c>
    </row>
    <row r="74" spans="1:21" x14ac:dyDescent="0.25">
      <c r="A74">
        <f>+Pedido!A77</f>
        <v>0</v>
      </c>
      <c r="C74">
        <v>1</v>
      </c>
      <c r="D74" t="s">
        <v>776</v>
      </c>
      <c r="E74">
        <f>+Pedido!B77</f>
        <v>0</v>
      </c>
      <c r="U74" t="s">
        <v>777</v>
      </c>
    </row>
    <row r="75" spans="1:21" x14ac:dyDescent="0.25">
      <c r="A75">
        <f>+Pedido!A78</f>
        <v>0</v>
      </c>
      <c r="C75">
        <v>1</v>
      </c>
      <c r="D75" t="s">
        <v>776</v>
      </c>
      <c r="E75">
        <f>+Pedido!B78</f>
        <v>0</v>
      </c>
      <c r="U75" t="s">
        <v>777</v>
      </c>
    </row>
    <row r="76" spans="1:21" x14ac:dyDescent="0.25">
      <c r="A76">
        <f>+Pedido!A79</f>
        <v>0</v>
      </c>
      <c r="C76">
        <v>1</v>
      </c>
      <c r="D76" t="s">
        <v>776</v>
      </c>
      <c r="E76">
        <f>+Pedido!B79</f>
        <v>0</v>
      </c>
      <c r="U76" t="s">
        <v>777</v>
      </c>
    </row>
    <row r="77" spans="1:21" x14ac:dyDescent="0.25">
      <c r="A77">
        <f>+Pedido!A80</f>
        <v>0</v>
      </c>
      <c r="C77">
        <v>1</v>
      </c>
      <c r="D77" t="s">
        <v>776</v>
      </c>
      <c r="E77">
        <f>+Pedido!B80</f>
        <v>0</v>
      </c>
      <c r="U77" t="s">
        <v>777</v>
      </c>
    </row>
    <row r="78" spans="1:21" x14ac:dyDescent="0.25">
      <c r="A78">
        <f>+Pedido!A81</f>
        <v>0</v>
      </c>
      <c r="C78">
        <v>1</v>
      </c>
      <c r="D78" t="s">
        <v>776</v>
      </c>
      <c r="E78">
        <f>+Pedido!B81</f>
        <v>0</v>
      </c>
      <c r="U78" t="s">
        <v>777</v>
      </c>
    </row>
    <row r="79" spans="1:21" x14ac:dyDescent="0.25">
      <c r="A79">
        <f>+Pedido!A82</f>
        <v>0</v>
      </c>
      <c r="C79">
        <v>1</v>
      </c>
      <c r="D79" t="s">
        <v>776</v>
      </c>
      <c r="E79">
        <f>+Pedido!B82</f>
        <v>0</v>
      </c>
      <c r="U79" t="s">
        <v>777</v>
      </c>
    </row>
    <row r="80" spans="1:21" x14ac:dyDescent="0.25">
      <c r="A80">
        <f>+Pedido!A83</f>
        <v>0</v>
      </c>
      <c r="C80">
        <v>1</v>
      </c>
      <c r="D80" t="s">
        <v>776</v>
      </c>
      <c r="E80">
        <f>+Pedido!B83</f>
        <v>0</v>
      </c>
      <c r="U80" t="s">
        <v>777</v>
      </c>
    </row>
    <row r="81" spans="1:21" x14ac:dyDescent="0.25">
      <c r="A81">
        <f>+Pedido!A84</f>
        <v>0</v>
      </c>
      <c r="C81">
        <v>1</v>
      </c>
      <c r="D81" t="s">
        <v>776</v>
      </c>
      <c r="E81">
        <f>+Pedido!B84</f>
        <v>0</v>
      </c>
      <c r="U81" t="s">
        <v>777</v>
      </c>
    </row>
    <row r="82" spans="1:21" x14ac:dyDescent="0.25">
      <c r="A82">
        <f>+Pedido!A85</f>
        <v>0</v>
      </c>
      <c r="C82">
        <v>1</v>
      </c>
      <c r="D82" t="s">
        <v>776</v>
      </c>
      <c r="E82">
        <f>+Pedido!B85</f>
        <v>0</v>
      </c>
      <c r="U82" t="s">
        <v>777</v>
      </c>
    </row>
    <row r="83" spans="1:21" x14ac:dyDescent="0.25">
      <c r="A83">
        <f>+Pedido!A86</f>
        <v>0</v>
      </c>
      <c r="C83">
        <v>1</v>
      </c>
      <c r="D83" t="s">
        <v>776</v>
      </c>
      <c r="E83">
        <f>+Pedido!B86</f>
        <v>0</v>
      </c>
      <c r="U83" t="s">
        <v>777</v>
      </c>
    </row>
    <row r="84" spans="1:21" x14ac:dyDescent="0.25">
      <c r="A84">
        <f>+Pedido!A87</f>
        <v>0</v>
      </c>
      <c r="C84">
        <v>1</v>
      </c>
      <c r="D84" t="s">
        <v>776</v>
      </c>
      <c r="E84">
        <f>+Pedido!B87</f>
        <v>0</v>
      </c>
      <c r="U84" t="s">
        <v>777</v>
      </c>
    </row>
    <row r="85" spans="1:21" x14ac:dyDescent="0.25">
      <c r="A85">
        <f>+Pedido!A88</f>
        <v>0</v>
      </c>
      <c r="C85">
        <v>1</v>
      </c>
      <c r="D85" t="s">
        <v>776</v>
      </c>
      <c r="E85">
        <f>+Pedido!B88</f>
        <v>0</v>
      </c>
      <c r="U85" t="s">
        <v>777</v>
      </c>
    </row>
    <row r="86" spans="1:21" x14ac:dyDescent="0.25">
      <c r="A86">
        <f>+Pedido!A89</f>
        <v>0</v>
      </c>
      <c r="C86">
        <v>1</v>
      </c>
      <c r="D86" t="s">
        <v>776</v>
      </c>
      <c r="E86">
        <f>+Pedido!B89</f>
        <v>0</v>
      </c>
      <c r="U86" t="s">
        <v>777</v>
      </c>
    </row>
    <row r="87" spans="1:21" x14ac:dyDescent="0.25">
      <c r="A87">
        <f>+Pedido!A90</f>
        <v>0</v>
      </c>
      <c r="C87">
        <v>1</v>
      </c>
      <c r="D87" t="s">
        <v>776</v>
      </c>
      <c r="E87">
        <f>+Pedido!B90</f>
        <v>0</v>
      </c>
      <c r="U87" t="s">
        <v>777</v>
      </c>
    </row>
    <row r="88" spans="1:21" x14ac:dyDescent="0.25">
      <c r="A88">
        <f>+Pedido!A91</f>
        <v>0</v>
      </c>
      <c r="C88">
        <v>1</v>
      </c>
      <c r="D88" t="s">
        <v>776</v>
      </c>
      <c r="E88">
        <f>+Pedido!B91</f>
        <v>0</v>
      </c>
      <c r="U88" t="s">
        <v>777</v>
      </c>
    </row>
    <row r="89" spans="1:21" x14ac:dyDescent="0.25">
      <c r="A89">
        <f>+Pedido!A92</f>
        <v>0</v>
      </c>
      <c r="C89">
        <v>1</v>
      </c>
      <c r="D89" t="s">
        <v>776</v>
      </c>
      <c r="E89">
        <f>+Pedido!B92</f>
        <v>0</v>
      </c>
      <c r="U89" t="s">
        <v>777</v>
      </c>
    </row>
    <row r="90" spans="1:21" x14ac:dyDescent="0.25">
      <c r="A90">
        <f>+Pedido!A93</f>
        <v>0</v>
      </c>
      <c r="C90">
        <v>1</v>
      </c>
      <c r="D90" t="s">
        <v>776</v>
      </c>
      <c r="E90">
        <f>+Pedido!B93</f>
        <v>0</v>
      </c>
      <c r="U90" t="s">
        <v>777</v>
      </c>
    </row>
    <row r="91" spans="1:21" x14ac:dyDescent="0.25">
      <c r="A91">
        <f>+Pedido!A94</f>
        <v>0</v>
      </c>
      <c r="C91">
        <v>1</v>
      </c>
      <c r="D91" t="s">
        <v>776</v>
      </c>
      <c r="E91">
        <f>+Pedido!B94</f>
        <v>0</v>
      </c>
      <c r="U91" t="s">
        <v>777</v>
      </c>
    </row>
    <row r="92" spans="1:21" x14ac:dyDescent="0.25">
      <c r="A92">
        <f>+Pedido!A95</f>
        <v>0</v>
      </c>
      <c r="C92">
        <v>1</v>
      </c>
      <c r="D92" t="s">
        <v>776</v>
      </c>
      <c r="E92">
        <f>+Pedido!B95</f>
        <v>0</v>
      </c>
      <c r="U92" t="s">
        <v>777</v>
      </c>
    </row>
    <row r="93" spans="1:21" x14ac:dyDescent="0.25">
      <c r="A93">
        <f>+Pedido!A96</f>
        <v>0</v>
      </c>
      <c r="C93">
        <v>1</v>
      </c>
      <c r="D93" t="s">
        <v>776</v>
      </c>
      <c r="E93">
        <f>+Pedido!B96</f>
        <v>0</v>
      </c>
      <c r="U93" t="s">
        <v>777</v>
      </c>
    </row>
    <row r="94" spans="1:21" x14ac:dyDescent="0.25">
      <c r="A94">
        <f>+Pedido!A97</f>
        <v>0</v>
      </c>
      <c r="C94">
        <v>1</v>
      </c>
      <c r="D94" t="s">
        <v>776</v>
      </c>
      <c r="E94">
        <f>+Pedido!B97</f>
        <v>0</v>
      </c>
      <c r="U94" t="s">
        <v>777</v>
      </c>
    </row>
    <row r="95" spans="1:21" x14ac:dyDescent="0.25">
      <c r="A95">
        <f>+Pedido!A98</f>
        <v>0</v>
      </c>
      <c r="C95">
        <v>1</v>
      </c>
      <c r="D95" t="s">
        <v>776</v>
      </c>
      <c r="E95">
        <f>+Pedido!B98</f>
        <v>0</v>
      </c>
      <c r="U95" t="s">
        <v>777</v>
      </c>
    </row>
    <row r="96" spans="1:21" x14ac:dyDescent="0.25">
      <c r="A96">
        <f>+Pedido!A99</f>
        <v>0</v>
      </c>
      <c r="C96">
        <v>1</v>
      </c>
      <c r="D96" t="s">
        <v>776</v>
      </c>
      <c r="E96">
        <f>+Pedido!B99</f>
        <v>0</v>
      </c>
      <c r="U96" t="s">
        <v>777</v>
      </c>
    </row>
    <row r="97" spans="1:21" x14ac:dyDescent="0.25">
      <c r="A97">
        <f>+Pedido!A100</f>
        <v>0</v>
      </c>
      <c r="C97">
        <v>1</v>
      </c>
      <c r="D97" t="s">
        <v>776</v>
      </c>
      <c r="E97">
        <f>+Pedido!B100</f>
        <v>0</v>
      </c>
      <c r="U97" t="s">
        <v>777</v>
      </c>
    </row>
    <row r="98" spans="1:21" x14ac:dyDescent="0.25">
      <c r="A98">
        <f>+Pedido!A101</f>
        <v>0</v>
      </c>
      <c r="C98">
        <v>1</v>
      </c>
      <c r="D98" t="s">
        <v>776</v>
      </c>
      <c r="E98">
        <f>+Pedido!B101</f>
        <v>0</v>
      </c>
      <c r="U98" t="s">
        <v>777</v>
      </c>
    </row>
    <row r="99" spans="1:21" x14ac:dyDescent="0.25">
      <c r="A99">
        <f>+Pedido!A102</f>
        <v>0</v>
      </c>
      <c r="C99">
        <v>1</v>
      </c>
      <c r="D99" t="s">
        <v>776</v>
      </c>
      <c r="E99">
        <f>+Pedido!B102</f>
        <v>0</v>
      </c>
      <c r="U99" t="s">
        <v>777</v>
      </c>
    </row>
    <row r="100" spans="1:21" x14ac:dyDescent="0.25">
      <c r="A100">
        <f>+Pedido!A103</f>
        <v>0</v>
      </c>
      <c r="C100">
        <v>1</v>
      </c>
      <c r="D100" t="s">
        <v>776</v>
      </c>
      <c r="E100">
        <f>+Pedido!B103</f>
        <v>0</v>
      </c>
    </row>
    <row r="101" spans="1:21" x14ac:dyDescent="0.25">
      <c r="A101">
        <f>+Pedido!A104</f>
        <v>0</v>
      </c>
      <c r="C101">
        <v>1</v>
      </c>
      <c r="D101" t="s">
        <v>776</v>
      </c>
      <c r="E101">
        <f>+Pedido!B104</f>
        <v>0</v>
      </c>
    </row>
    <row r="102" spans="1:21" x14ac:dyDescent="0.25">
      <c r="A102">
        <f>+Pedido!A105</f>
        <v>0</v>
      </c>
      <c r="C102">
        <v>1</v>
      </c>
      <c r="D102" t="s">
        <v>776</v>
      </c>
      <c r="E102">
        <f>+Pedido!B105</f>
        <v>0</v>
      </c>
    </row>
    <row r="103" spans="1:21" x14ac:dyDescent="0.25">
      <c r="A103">
        <f>+Pedido!A106</f>
        <v>0</v>
      </c>
      <c r="C103">
        <v>1</v>
      </c>
      <c r="D103" t="s">
        <v>776</v>
      </c>
      <c r="E103">
        <f>+Pedido!B106</f>
        <v>0</v>
      </c>
    </row>
    <row r="104" spans="1:21" x14ac:dyDescent="0.25">
      <c r="A104">
        <f>+Pedido!A107</f>
        <v>0</v>
      </c>
      <c r="C104">
        <v>1</v>
      </c>
      <c r="D104" t="s">
        <v>776</v>
      </c>
      <c r="E104">
        <f>+Pedido!B107</f>
        <v>0</v>
      </c>
    </row>
    <row r="105" spans="1:21" x14ac:dyDescent="0.25">
      <c r="A105">
        <f>+Pedido!A108</f>
        <v>0</v>
      </c>
      <c r="C105">
        <v>1</v>
      </c>
      <c r="D105" t="s">
        <v>776</v>
      </c>
      <c r="E105">
        <f>+Pedido!B108</f>
        <v>0</v>
      </c>
    </row>
    <row r="106" spans="1:21" x14ac:dyDescent="0.25">
      <c r="A106">
        <f>+Pedido!A109</f>
        <v>0</v>
      </c>
      <c r="C106">
        <v>1</v>
      </c>
      <c r="D106" t="s">
        <v>776</v>
      </c>
      <c r="E106">
        <f>+Pedido!B109</f>
        <v>0</v>
      </c>
    </row>
    <row r="107" spans="1:21" x14ac:dyDescent="0.25">
      <c r="A107">
        <f>+Pedido!A110</f>
        <v>0</v>
      </c>
      <c r="C107">
        <v>1</v>
      </c>
      <c r="D107" t="s">
        <v>776</v>
      </c>
      <c r="E107">
        <f>+Pedido!B110</f>
        <v>0</v>
      </c>
    </row>
    <row r="108" spans="1:21" x14ac:dyDescent="0.25">
      <c r="A108">
        <f>+Pedido!A111</f>
        <v>0</v>
      </c>
      <c r="C108">
        <v>1</v>
      </c>
      <c r="D108" t="s">
        <v>776</v>
      </c>
      <c r="E108">
        <f>+Pedido!B111</f>
        <v>0</v>
      </c>
    </row>
    <row r="109" spans="1:21" x14ac:dyDescent="0.25">
      <c r="A109">
        <f>+Pedido!A112</f>
        <v>0</v>
      </c>
      <c r="C109">
        <v>1</v>
      </c>
      <c r="D109" t="s">
        <v>776</v>
      </c>
      <c r="E109">
        <f>+Pedido!B112</f>
        <v>0</v>
      </c>
    </row>
    <row r="110" spans="1:21" x14ac:dyDescent="0.25">
      <c r="A110">
        <f>+Pedido!A113</f>
        <v>0</v>
      </c>
      <c r="C110">
        <v>1</v>
      </c>
      <c r="D110" t="s">
        <v>776</v>
      </c>
      <c r="E110">
        <f>+Pedido!B113</f>
        <v>0</v>
      </c>
    </row>
    <row r="111" spans="1:21" x14ac:dyDescent="0.25">
      <c r="A111">
        <f>+Pedido!A114</f>
        <v>0</v>
      </c>
      <c r="C111">
        <v>1</v>
      </c>
      <c r="D111" t="s">
        <v>776</v>
      </c>
      <c r="E111">
        <f>+Pedido!B114</f>
        <v>0</v>
      </c>
    </row>
    <row r="112" spans="1:21" x14ac:dyDescent="0.25">
      <c r="A112">
        <f>+Pedido!A115</f>
        <v>0</v>
      </c>
      <c r="C112">
        <v>1</v>
      </c>
      <c r="D112" t="s">
        <v>776</v>
      </c>
      <c r="E112">
        <f>+Pedido!B115</f>
        <v>0</v>
      </c>
    </row>
    <row r="113" spans="1:5" x14ac:dyDescent="0.25">
      <c r="A113">
        <f>+Pedido!A116</f>
        <v>0</v>
      </c>
      <c r="C113">
        <v>1</v>
      </c>
      <c r="D113" t="s">
        <v>776</v>
      </c>
      <c r="E113">
        <f>+Pedido!B116</f>
        <v>0</v>
      </c>
    </row>
    <row r="114" spans="1:5" x14ac:dyDescent="0.25">
      <c r="A114">
        <f>+Pedido!A117</f>
        <v>0</v>
      </c>
      <c r="C114">
        <v>1</v>
      </c>
      <c r="D114" t="s">
        <v>776</v>
      </c>
      <c r="E114">
        <f>+Pedido!B117</f>
        <v>0</v>
      </c>
    </row>
    <row r="115" spans="1:5" x14ac:dyDescent="0.25">
      <c r="A115">
        <f>+Pedido!A118</f>
        <v>0</v>
      </c>
      <c r="C115">
        <v>1</v>
      </c>
      <c r="D115" t="s">
        <v>776</v>
      </c>
      <c r="E115">
        <f>+Pedido!B118</f>
        <v>0</v>
      </c>
    </row>
    <row r="116" spans="1:5" x14ac:dyDescent="0.25">
      <c r="A116">
        <f>+Pedido!A119</f>
        <v>0</v>
      </c>
      <c r="C116">
        <v>1</v>
      </c>
      <c r="D116" t="s">
        <v>776</v>
      </c>
      <c r="E116">
        <f>+Pedido!B119</f>
        <v>0</v>
      </c>
    </row>
    <row r="117" spans="1:5" x14ac:dyDescent="0.25">
      <c r="A117">
        <f>+Pedido!A120</f>
        <v>0</v>
      </c>
      <c r="C117">
        <v>1</v>
      </c>
      <c r="D117" t="s">
        <v>776</v>
      </c>
      <c r="E117">
        <f>+Pedido!B120</f>
        <v>0</v>
      </c>
    </row>
    <row r="118" spans="1:5" x14ac:dyDescent="0.25">
      <c r="A118">
        <f>+Pedido!A121</f>
        <v>0</v>
      </c>
      <c r="C118">
        <v>1</v>
      </c>
      <c r="D118" t="s">
        <v>776</v>
      </c>
      <c r="E118">
        <f>+Pedido!B121</f>
        <v>0</v>
      </c>
    </row>
    <row r="119" spans="1:5" x14ac:dyDescent="0.25">
      <c r="A119">
        <f>+Pedido!A122</f>
        <v>0</v>
      </c>
      <c r="C119">
        <v>1</v>
      </c>
      <c r="D119" t="s">
        <v>776</v>
      </c>
      <c r="E119">
        <f>+Pedido!B122</f>
        <v>0</v>
      </c>
    </row>
    <row r="120" spans="1:5" x14ac:dyDescent="0.25">
      <c r="A120">
        <f>+Pedido!A123</f>
        <v>0</v>
      </c>
      <c r="C120">
        <v>1</v>
      </c>
      <c r="D120" t="s">
        <v>776</v>
      </c>
      <c r="E120">
        <f>+Pedido!B123</f>
        <v>0</v>
      </c>
    </row>
    <row r="121" spans="1:5" x14ac:dyDescent="0.25">
      <c r="A121">
        <f>+Pedido!A124</f>
        <v>0</v>
      </c>
      <c r="C121">
        <v>1</v>
      </c>
      <c r="D121" t="s">
        <v>776</v>
      </c>
      <c r="E121">
        <f>+Pedido!B124</f>
        <v>0</v>
      </c>
    </row>
    <row r="122" spans="1:5" x14ac:dyDescent="0.25">
      <c r="A122">
        <f>+Pedido!A125</f>
        <v>0</v>
      </c>
      <c r="C122">
        <v>1</v>
      </c>
      <c r="D122" t="s">
        <v>776</v>
      </c>
      <c r="E122">
        <f>+Pedido!B125</f>
        <v>0</v>
      </c>
    </row>
    <row r="123" spans="1:5" x14ac:dyDescent="0.25">
      <c r="A123">
        <f>+Pedido!A126</f>
        <v>0</v>
      </c>
      <c r="C123">
        <v>1</v>
      </c>
      <c r="D123" t="s">
        <v>776</v>
      </c>
      <c r="E123">
        <f>+Pedido!B126</f>
        <v>0</v>
      </c>
    </row>
    <row r="124" spans="1:5" x14ac:dyDescent="0.25">
      <c r="A124">
        <f>+Pedido!A127</f>
        <v>0</v>
      </c>
      <c r="C124">
        <v>1</v>
      </c>
      <c r="D124" t="s">
        <v>776</v>
      </c>
      <c r="E124">
        <f>+Pedido!B127</f>
        <v>0</v>
      </c>
    </row>
    <row r="125" spans="1:5" x14ac:dyDescent="0.25">
      <c r="A125">
        <f>+Pedido!A128</f>
        <v>0</v>
      </c>
      <c r="C125">
        <v>1</v>
      </c>
      <c r="D125" t="s">
        <v>776</v>
      </c>
      <c r="E125">
        <f>+Pedido!B128</f>
        <v>0</v>
      </c>
    </row>
    <row r="126" spans="1:5" x14ac:dyDescent="0.25">
      <c r="A126">
        <f>+Pedido!A129</f>
        <v>0</v>
      </c>
      <c r="C126">
        <v>1</v>
      </c>
      <c r="D126" t="s">
        <v>776</v>
      </c>
      <c r="E126">
        <f>+Pedido!B129</f>
        <v>0</v>
      </c>
    </row>
    <row r="127" spans="1:5" x14ac:dyDescent="0.25">
      <c r="A127">
        <f>+Pedido!A130</f>
        <v>0</v>
      </c>
      <c r="C127">
        <v>1</v>
      </c>
      <c r="D127" t="s">
        <v>776</v>
      </c>
      <c r="E127">
        <f>+Pedido!B130</f>
        <v>0</v>
      </c>
    </row>
    <row r="128" spans="1:5" x14ac:dyDescent="0.25">
      <c r="A128">
        <f>+Pedido!A131</f>
        <v>0</v>
      </c>
      <c r="C128">
        <v>1</v>
      </c>
      <c r="D128" t="s">
        <v>776</v>
      </c>
      <c r="E128">
        <f>+Pedido!B131</f>
        <v>0</v>
      </c>
    </row>
    <row r="129" spans="1:5" x14ac:dyDescent="0.25">
      <c r="A129">
        <f>+Pedido!A132</f>
        <v>0</v>
      </c>
      <c r="C129">
        <v>1</v>
      </c>
      <c r="D129" t="s">
        <v>776</v>
      </c>
      <c r="E129">
        <f>+Pedido!B132</f>
        <v>0</v>
      </c>
    </row>
    <row r="130" spans="1:5" x14ac:dyDescent="0.25">
      <c r="A130">
        <f>+Pedido!A133</f>
        <v>0</v>
      </c>
      <c r="C130">
        <v>1</v>
      </c>
      <c r="D130" t="s">
        <v>776</v>
      </c>
      <c r="E130">
        <f>+Pedido!B133</f>
        <v>0</v>
      </c>
    </row>
    <row r="131" spans="1:5" x14ac:dyDescent="0.25">
      <c r="A131">
        <f>+Pedido!A134</f>
        <v>0</v>
      </c>
      <c r="C131">
        <v>1</v>
      </c>
      <c r="D131" t="s">
        <v>776</v>
      </c>
      <c r="E131">
        <f>+Pedido!B134</f>
        <v>0</v>
      </c>
    </row>
    <row r="132" spans="1:5" x14ac:dyDescent="0.25">
      <c r="A132">
        <f>+Pedido!A135</f>
        <v>0</v>
      </c>
      <c r="C132">
        <v>1</v>
      </c>
      <c r="D132" t="s">
        <v>776</v>
      </c>
      <c r="E132">
        <f>+Pedido!B135</f>
        <v>0</v>
      </c>
    </row>
    <row r="133" spans="1:5" x14ac:dyDescent="0.25">
      <c r="A133">
        <f>+Pedido!A136</f>
        <v>0</v>
      </c>
      <c r="C133">
        <v>1</v>
      </c>
      <c r="D133" t="s">
        <v>776</v>
      </c>
      <c r="E133">
        <f>+Pedido!B136</f>
        <v>0</v>
      </c>
    </row>
    <row r="134" spans="1:5" x14ac:dyDescent="0.25">
      <c r="A134">
        <f>+Pedido!A137</f>
        <v>0</v>
      </c>
      <c r="C134">
        <v>1</v>
      </c>
      <c r="D134" t="s">
        <v>776</v>
      </c>
      <c r="E134">
        <f>+Pedido!B137</f>
        <v>0</v>
      </c>
    </row>
    <row r="135" spans="1:5" x14ac:dyDescent="0.25">
      <c r="A135">
        <f>+Pedido!A138</f>
        <v>0</v>
      </c>
      <c r="C135">
        <v>1</v>
      </c>
      <c r="D135" t="s">
        <v>776</v>
      </c>
      <c r="E135">
        <f>+Pedido!B138</f>
        <v>0</v>
      </c>
    </row>
    <row r="136" spans="1:5" x14ac:dyDescent="0.25">
      <c r="A136">
        <f>+Pedido!A139</f>
        <v>0</v>
      </c>
      <c r="C136">
        <v>1</v>
      </c>
      <c r="D136" t="s">
        <v>776</v>
      </c>
      <c r="E136">
        <f>+Pedido!B139</f>
        <v>0</v>
      </c>
    </row>
    <row r="137" spans="1:5" x14ac:dyDescent="0.25">
      <c r="A137">
        <f>+Pedido!A140</f>
        <v>0</v>
      </c>
      <c r="C137">
        <v>1</v>
      </c>
      <c r="D137" t="s">
        <v>776</v>
      </c>
      <c r="E137">
        <f>+Pedido!B140</f>
        <v>0</v>
      </c>
    </row>
    <row r="138" spans="1:5" x14ac:dyDescent="0.25">
      <c r="A138">
        <f>+Pedido!A141</f>
        <v>0</v>
      </c>
      <c r="C138">
        <v>1</v>
      </c>
      <c r="D138" t="s">
        <v>776</v>
      </c>
      <c r="E138">
        <f>+Pedido!B141</f>
        <v>0</v>
      </c>
    </row>
    <row r="139" spans="1:5" x14ac:dyDescent="0.25">
      <c r="A139">
        <f>+Pedido!A142</f>
        <v>0</v>
      </c>
      <c r="C139">
        <v>1</v>
      </c>
      <c r="D139" t="s">
        <v>776</v>
      </c>
      <c r="E139">
        <f>+Pedido!B142</f>
        <v>0</v>
      </c>
    </row>
    <row r="140" spans="1:5" x14ac:dyDescent="0.25">
      <c r="A140">
        <f>+Pedido!A143</f>
        <v>0</v>
      </c>
      <c r="C140">
        <v>1</v>
      </c>
      <c r="D140" t="s">
        <v>776</v>
      </c>
      <c r="E140">
        <f>+Pedido!B143</f>
        <v>0</v>
      </c>
    </row>
    <row r="141" spans="1:5" x14ac:dyDescent="0.25">
      <c r="A141">
        <f>+Pedido!A144</f>
        <v>0</v>
      </c>
      <c r="C141">
        <v>1</v>
      </c>
      <c r="D141" t="s">
        <v>776</v>
      </c>
      <c r="E141">
        <f>+Pedido!B144</f>
        <v>0</v>
      </c>
    </row>
    <row r="142" spans="1:5" x14ac:dyDescent="0.25">
      <c r="A142">
        <f>+Pedido!A145</f>
        <v>0</v>
      </c>
      <c r="C142">
        <v>1</v>
      </c>
      <c r="D142" t="s">
        <v>776</v>
      </c>
      <c r="E142">
        <f>+Pedido!B145</f>
        <v>0</v>
      </c>
    </row>
    <row r="143" spans="1:5" x14ac:dyDescent="0.25">
      <c r="A143">
        <f>+Pedido!A146</f>
        <v>0</v>
      </c>
      <c r="C143">
        <v>1</v>
      </c>
      <c r="D143" t="s">
        <v>776</v>
      </c>
      <c r="E143">
        <f>+Pedido!B146</f>
        <v>0</v>
      </c>
    </row>
    <row r="144" spans="1:5" x14ac:dyDescent="0.25">
      <c r="A144">
        <f>+Pedido!A147</f>
        <v>0</v>
      </c>
      <c r="C144">
        <v>1</v>
      </c>
      <c r="D144" t="s">
        <v>776</v>
      </c>
      <c r="E144">
        <f>+Pedido!B147</f>
        <v>0</v>
      </c>
    </row>
    <row r="145" spans="1:5" x14ac:dyDescent="0.25">
      <c r="A145">
        <f>+Pedido!A148</f>
        <v>0</v>
      </c>
      <c r="C145">
        <v>1</v>
      </c>
      <c r="D145" t="s">
        <v>776</v>
      </c>
      <c r="E145">
        <f>+Pedido!B148</f>
        <v>0</v>
      </c>
    </row>
    <row r="146" spans="1:5" x14ac:dyDescent="0.25">
      <c r="A146">
        <f>+Pedido!A149</f>
        <v>0</v>
      </c>
      <c r="C146">
        <v>1</v>
      </c>
      <c r="D146" t="s">
        <v>776</v>
      </c>
      <c r="E146">
        <f>+Pedido!B149</f>
        <v>0</v>
      </c>
    </row>
    <row r="147" spans="1:5" x14ac:dyDescent="0.25">
      <c r="A147">
        <f>+Pedido!A150</f>
        <v>0</v>
      </c>
      <c r="C147">
        <v>1</v>
      </c>
      <c r="D147" t="s">
        <v>776</v>
      </c>
      <c r="E147">
        <f>+Pedido!B150</f>
        <v>0</v>
      </c>
    </row>
    <row r="148" spans="1:5" x14ac:dyDescent="0.25">
      <c r="A148">
        <f>+Pedido!A151</f>
        <v>0</v>
      </c>
      <c r="C148">
        <v>1</v>
      </c>
      <c r="D148" t="s">
        <v>776</v>
      </c>
      <c r="E148">
        <f>+Pedido!B151</f>
        <v>0</v>
      </c>
    </row>
    <row r="149" spans="1:5" x14ac:dyDescent="0.25">
      <c r="A149">
        <f>+Pedido!A152</f>
        <v>0</v>
      </c>
      <c r="C149">
        <v>1</v>
      </c>
      <c r="D149" t="s">
        <v>776</v>
      </c>
      <c r="E149">
        <f>+Pedido!B152</f>
        <v>0</v>
      </c>
    </row>
    <row r="150" spans="1:5" x14ac:dyDescent="0.25">
      <c r="A150">
        <f>+Pedido!A153</f>
        <v>0</v>
      </c>
      <c r="C150">
        <v>1</v>
      </c>
      <c r="D150" t="s">
        <v>776</v>
      </c>
      <c r="E150">
        <f>+Pedido!B153</f>
        <v>0</v>
      </c>
    </row>
    <row r="151" spans="1:5" x14ac:dyDescent="0.25">
      <c r="A151">
        <f>+Pedido!A154</f>
        <v>0</v>
      </c>
      <c r="C151">
        <v>1</v>
      </c>
      <c r="D151" t="s">
        <v>776</v>
      </c>
      <c r="E151">
        <f>+Pedido!B154</f>
        <v>0</v>
      </c>
    </row>
    <row r="152" spans="1:5" x14ac:dyDescent="0.25">
      <c r="A152">
        <f>+Pedido!A155</f>
        <v>0</v>
      </c>
      <c r="C152">
        <v>1</v>
      </c>
      <c r="D152" t="s">
        <v>776</v>
      </c>
      <c r="E152">
        <f>+Pedido!B155</f>
        <v>0</v>
      </c>
    </row>
    <row r="153" spans="1:5" x14ac:dyDescent="0.25">
      <c r="A153">
        <f>+Pedido!A156</f>
        <v>0</v>
      </c>
      <c r="C153">
        <v>1</v>
      </c>
      <c r="D153" t="s">
        <v>776</v>
      </c>
      <c r="E153">
        <f>+Pedido!B156</f>
        <v>0</v>
      </c>
    </row>
    <row r="154" spans="1:5" x14ac:dyDescent="0.25">
      <c r="A154">
        <f>+Pedido!A157</f>
        <v>0</v>
      </c>
      <c r="C154">
        <v>1</v>
      </c>
      <c r="D154" t="s">
        <v>776</v>
      </c>
      <c r="E154">
        <f>+Pedido!B157</f>
        <v>0</v>
      </c>
    </row>
    <row r="155" spans="1:5" x14ac:dyDescent="0.25">
      <c r="A155">
        <f>+Pedido!A158</f>
        <v>0</v>
      </c>
      <c r="C155">
        <v>1</v>
      </c>
      <c r="D155" t="s">
        <v>776</v>
      </c>
      <c r="E155">
        <f>+Pedido!B158</f>
        <v>0</v>
      </c>
    </row>
    <row r="156" spans="1:5" x14ac:dyDescent="0.25">
      <c r="A156">
        <f>+Pedido!A159</f>
        <v>0</v>
      </c>
      <c r="C156">
        <v>1</v>
      </c>
      <c r="D156" t="s">
        <v>776</v>
      </c>
      <c r="E156">
        <f>+Pedido!B159</f>
        <v>0</v>
      </c>
    </row>
    <row r="157" spans="1:5" x14ac:dyDescent="0.25">
      <c r="A157">
        <f>+Pedido!A160</f>
        <v>0</v>
      </c>
      <c r="C157">
        <v>1</v>
      </c>
      <c r="D157" t="s">
        <v>776</v>
      </c>
      <c r="E157">
        <f>+Pedido!B160</f>
        <v>0</v>
      </c>
    </row>
    <row r="158" spans="1:5" x14ac:dyDescent="0.25">
      <c r="A158">
        <f>+Pedido!A161</f>
        <v>0</v>
      </c>
      <c r="C158">
        <v>1</v>
      </c>
      <c r="D158" t="s">
        <v>776</v>
      </c>
      <c r="E158">
        <f>+Pedido!B161</f>
        <v>0</v>
      </c>
    </row>
    <row r="159" spans="1:5" x14ac:dyDescent="0.25">
      <c r="A159">
        <f>+Pedido!A162</f>
        <v>0</v>
      </c>
      <c r="C159">
        <v>1</v>
      </c>
      <c r="D159" t="s">
        <v>776</v>
      </c>
      <c r="E159">
        <f>+Pedido!B162</f>
        <v>0</v>
      </c>
    </row>
    <row r="160" spans="1:5" x14ac:dyDescent="0.25">
      <c r="A160">
        <f>+Pedido!A163</f>
        <v>0</v>
      </c>
      <c r="C160">
        <v>1</v>
      </c>
      <c r="D160" t="s">
        <v>776</v>
      </c>
      <c r="E160">
        <f>+Pedido!B163</f>
        <v>0</v>
      </c>
    </row>
    <row r="161" spans="1:5" x14ac:dyDescent="0.25">
      <c r="A161">
        <f>+Pedido!A164</f>
        <v>0</v>
      </c>
      <c r="C161">
        <v>1</v>
      </c>
      <c r="D161" t="s">
        <v>776</v>
      </c>
      <c r="E161">
        <f>+Pedido!B164</f>
        <v>0</v>
      </c>
    </row>
    <row r="162" spans="1:5" x14ac:dyDescent="0.25">
      <c r="A162">
        <f>+Pedido!A165</f>
        <v>0</v>
      </c>
      <c r="C162">
        <v>1</v>
      </c>
      <c r="D162" t="s">
        <v>776</v>
      </c>
      <c r="E162">
        <f>+Pedido!B165</f>
        <v>0</v>
      </c>
    </row>
    <row r="163" spans="1:5" x14ac:dyDescent="0.25">
      <c r="A163">
        <f>+Pedido!A166</f>
        <v>0</v>
      </c>
      <c r="C163">
        <v>1</v>
      </c>
      <c r="D163" t="s">
        <v>776</v>
      </c>
      <c r="E163">
        <f>+Pedido!B166</f>
        <v>0</v>
      </c>
    </row>
    <row r="164" spans="1:5" x14ac:dyDescent="0.25">
      <c r="A164">
        <f>+Pedido!A167</f>
        <v>0</v>
      </c>
      <c r="C164">
        <v>1</v>
      </c>
      <c r="D164" t="s">
        <v>776</v>
      </c>
      <c r="E164">
        <f>+Pedido!B167</f>
        <v>0</v>
      </c>
    </row>
    <row r="165" spans="1:5" x14ac:dyDescent="0.25">
      <c r="A165">
        <f>+Pedido!A168</f>
        <v>0</v>
      </c>
      <c r="C165">
        <v>1</v>
      </c>
      <c r="D165" t="s">
        <v>776</v>
      </c>
      <c r="E165">
        <f>+Pedido!B168</f>
        <v>0</v>
      </c>
    </row>
    <row r="166" spans="1:5" x14ac:dyDescent="0.25">
      <c r="A166">
        <f>+Pedido!A169</f>
        <v>0</v>
      </c>
      <c r="C166">
        <v>1</v>
      </c>
      <c r="D166" t="s">
        <v>776</v>
      </c>
      <c r="E166">
        <f>+Pedido!B169</f>
        <v>0</v>
      </c>
    </row>
    <row r="167" spans="1:5" x14ac:dyDescent="0.25">
      <c r="A167">
        <f>+Pedido!A170</f>
        <v>0</v>
      </c>
      <c r="C167">
        <v>1</v>
      </c>
      <c r="D167" t="s">
        <v>776</v>
      </c>
      <c r="E167">
        <f>+Pedido!B170</f>
        <v>0</v>
      </c>
    </row>
    <row r="168" spans="1:5" x14ac:dyDescent="0.25">
      <c r="A168">
        <f>+Pedido!A171</f>
        <v>0</v>
      </c>
      <c r="C168">
        <v>1</v>
      </c>
      <c r="D168" t="s">
        <v>776</v>
      </c>
      <c r="E168">
        <f>+Pedido!B171</f>
        <v>0</v>
      </c>
    </row>
    <row r="169" spans="1:5" x14ac:dyDescent="0.25">
      <c r="A169">
        <f>+Pedido!A172</f>
        <v>0</v>
      </c>
      <c r="C169">
        <v>1</v>
      </c>
      <c r="D169" t="s">
        <v>776</v>
      </c>
      <c r="E169">
        <f>+Pedido!B172</f>
        <v>0</v>
      </c>
    </row>
    <row r="170" spans="1:5" x14ac:dyDescent="0.25">
      <c r="A170">
        <f>+Pedido!A173</f>
        <v>0</v>
      </c>
      <c r="C170">
        <v>1</v>
      </c>
      <c r="D170" t="s">
        <v>776</v>
      </c>
      <c r="E170">
        <f>+Pedido!B173</f>
        <v>0</v>
      </c>
    </row>
    <row r="171" spans="1:5" x14ac:dyDescent="0.25">
      <c r="A171">
        <f>+Pedido!A174</f>
        <v>0</v>
      </c>
      <c r="C171">
        <v>1</v>
      </c>
      <c r="D171" t="s">
        <v>776</v>
      </c>
      <c r="E171">
        <f>+Pedido!B174</f>
        <v>0</v>
      </c>
    </row>
    <row r="172" spans="1:5" x14ac:dyDescent="0.25">
      <c r="A172">
        <f>+Pedido!A175</f>
        <v>0</v>
      </c>
      <c r="C172">
        <v>1</v>
      </c>
      <c r="D172" t="s">
        <v>776</v>
      </c>
      <c r="E172">
        <f>+Pedido!B175</f>
        <v>0</v>
      </c>
    </row>
    <row r="173" spans="1:5" x14ac:dyDescent="0.25">
      <c r="A173">
        <f>+Pedido!A176</f>
        <v>0</v>
      </c>
      <c r="C173">
        <v>1</v>
      </c>
      <c r="D173" t="s">
        <v>776</v>
      </c>
      <c r="E173">
        <f>+Pedido!B176</f>
        <v>0</v>
      </c>
    </row>
    <row r="174" spans="1:5" x14ac:dyDescent="0.25">
      <c r="A174">
        <f>+Pedido!A177</f>
        <v>0</v>
      </c>
      <c r="C174">
        <v>1</v>
      </c>
      <c r="D174" t="s">
        <v>776</v>
      </c>
      <c r="E174">
        <f>+Pedido!B177</f>
        <v>0</v>
      </c>
    </row>
    <row r="175" spans="1:5" x14ac:dyDescent="0.25">
      <c r="A175">
        <f>+Pedido!A178</f>
        <v>0</v>
      </c>
      <c r="C175">
        <v>1</v>
      </c>
      <c r="D175" t="s">
        <v>776</v>
      </c>
      <c r="E175">
        <f>+Pedido!B178</f>
        <v>0</v>
      </c>
    </row>
    <row r="176" spans="1:5" x14ac:dyDescent="0.25">
      <c r="A176">
        <f>+Pedido!A179</f>
        <v>0</v>
      </c>
      <c r="C176">
        <v>1</v>
      </c>
      <c r="D176" t="s">
        <v>776</v>
      </c>
      <c r="E176">
        <f>+Pedido!B179</f>
        <v>0</v>
      </c>
    </row>
    <row r="177" spans="1:5" x14ac:dyDescent="0.25">
      <c r="A177">
        <f>+Pedido!A180</f>
        <v>0</v>
      </c>
      <c r="C177">
        <v>1</v>
      </c>
      <c r="D177" t="s">
        <v>776</v>
      </c>
      <c r="E177">
        <f>+Pedido!B180</f>
        <v>0</v>
      </c>
    </row>
    <row r="178" spans="1:5" x14ac:dyDescent="0.25">
      <c r="A178">
        <f>+Pedido!A181</f>
        <v>0</v>
      </c>
      <c r="C178">
        <v>1</v>
      </c>
      <c r="D178" t="s">
        <v>776</v>
      </c>
      <c r="E178">
        <f>+Pedido!B181</f>
        <v>0</v>
      </c>
    </row>
    <row r="179" spans="1:5" x14ac:dyDescent="0.25">
      <c r="A179">
        <f>+Pedido!A182</f>
        <v>0</v>
      </c>
      <c r="C179">
        <v>1</v>
      </c>
      <c r="D179" t="s">
        <v>776</v>
      </c>
      <c r="E179">
        <f>+Pedido!B182</f>
        <v>0</v>
      </c>
    </row>
    <row r="180" spans="1:5" x14ac:dyDescent="0.25">
      <c r="A180">
        <f>+Pedido!A183</f>
        <v>0</v>
      </c>
      <c r="C180">
        <v>1</v>
      </c>
      <c r="D180" t="s">
        <v>776</v>
      </c>
      <c r="E180">
        <f>+Pedido!B183</f>
        <v>0</v>
      </c>
    </row>
    <row r="181" spans="1:5" x14ac:dyDescent="0.25">
      <c r="A181">
        <f>+Pedido!A184</f>
        <v>0</v>
      </c>
      <c r="C181">
        <v>1</v>
      </c>
      <c r="D181" t="s">
        <v>776</v>
      </c>
      <c r="E181">
        <f>+Pedido!B184</f>
        <v>0</v>
      </c>
    </row>
    <row r="182" spans="1:5" x14ac:dyDescent="0.25">
      <c r="A182">
        <f>+Pedido!A185</f>
        <v>0</v>
      </c>
      <c r="C182">
        <v>1</v>
      </c>
      <c r="D182" t="s">
        <v>776</v>
      </c>
      <c r="E182">
        <f>+Pedido!B185</f>
        <v>0</v>
      </c>
    </row>
    <row r="183" spans="1:5" x14ac:dyDescent="0.25">
      <c r="A183">
        <f>+Pedido!A186</f>
        <v>0</v>
      </c>
      <c r="C183">
        <v>1</v>
      </c>
      <c r="D183" t="s">
        <v>776</v>
      </c>
      <c r="E183">
        <f>+Pedido!B186</f>
        <v>0</v>
      </c>
    </row>
    <row r="184" spans="1:5" x14ac:dyDescent="0.25">
      <c r="A184">
        <f>+Pedido!A187</f>
        <v>0</v>
      </c>
      <c r="C184">
        <v>1</v>
      </c>
      <c r="D184" t="s">
        <v>776</v>
      </c>
      <c r="E184">
        <f>+Pedido!B187</f>
        <v>0</v>
      </c>
    </row>
    <row r="185" spans="1:5" x14ac:dyDescent="0.25">
      <c r="A185">
        <f>+Pedido!A188</f>
        <v>0</v>
      </c>
      <c r="C185">
        <v>1</v>
      </c>
      <c r="D185" t="s">
        <v>776</v>
      </c>
      <c r="E185">
        <f>+Pedido!B188</f>
        <v>0</v>
      </c>
    </row>
    <row r="186" spans="1:5" x14ac:dyDescent="0.25">
      <c r="A186">
        <f>+Pedido!A189</f>
        <v>0</v>
      </c>
      <c r="C186">
        <v>1</v>
      </c>
      <c r="D186" t="s">
        <v>776</v>
      </c>
      <c r="E186">
        <f>+Pedido!B189</f>
        <v>0</v>
      </c>
    </row>
    <row r="187" spans="1:5" x14ac:dyDescent="0.25">
      <c r="A187">
        <f>+Pedido!A190</f>
        <v>0</v>
      </c>
      <c r="C187">
        <v>1</v>
      </c>
      <c r="D187" t="s">
        <v>776</v>
      </c>
      <c r="E187">
        <f>+Pedido!B190</f>
        <v>0</v>
      </c>
    </row>
    <row r="188" spans="1:5" x14ac:dyDescent="0.25">
      <c r="A188">
        <f>+Pedido!A191</f>
        <v>0</v>
      </c>
      <c r="C188">
        <v>1</v>
      </c>
      <c r="D188" t="s">
        <v>776</v>
      </c>
      <c r="E188">
        <f>+Pedido!B191</f>
        <v>0</v>
      </c>
    </row>
    <row r="189" spans="1:5" x14ac:dyDescent="0.25">
      <c r="A189">
        <f>+Pedido!A192</f>
        <v>0</v>
      </c>
      <c r="C189">
        <v>1</v>
      </c>
      <c r="D189" t="s">
        <v>776</v>
      </c>
      <c r="E189">
        <f>+Pedido!B192</f>
        <v>0</v>
      </c>
    </row>
    <row r="190" spans="1:5" x14ac:dyDescent="0.25">
      <c r="A190">
        <f>+Pedido!A193</f>
        <v>0</v>
      </c>
      <c r="C190">
        <v>1</v>
      </c>
      <c r="D190" t="s">
        <v>776</v>
      </c>
      <c r="E190">
        <f>+Pedido!B193</f>
        <v>0</v>
      </c>
    </row>
    <row r="191" spans="1:5" x14ac:dyDescent="0.25">
      <c r="A191">
        <f>+Pedido!A194</f>
        <v>0</v>
      </c>
      <c r="C191">
        <v>1</v>
      </c>
      <c r="D191" t="s">
        <v>776</v>
      </c>
      <c r="E191">
        <f>+Pedido!B194</f>
        <v>0</v>
      </c>
    </row>
    <row r="192" spans="1:5" x14ac:dyDescent="0.25">
      <c r="A192">
        <f>+Pedido!A195</f>
        <v>0</v>
      </c>
      <c r="C192">
        <v>1</v>
      </c>
      <c r="D192" t="s">
        <v>776</v>
      </c>
      <c r="E192">
        <f>+Pedido!B195</f>
        <v>0</v>
      </c>
    </row>
    <row r="193" spans="1:5" x14ac:dyDescent="0.25">
      <c r="A193">
        <f>+Pedido!A196</f>
        <v>0</v>
      </c>
      <c r="C193">
        <v>1</v>
      </c>
      <c r="D193" t="s">
        <v>776</v>
      </c>
      <c r="E193">
        <f>+Pedido!B196</f>
        <v>0</v>
      </c>
    </row>
    <row r="194" spans="1:5" x14ac:dyDescent="0.25">
      <c r="A194">
        <f>+Pedido!A197</f>
        <v>0</v>
      </c>
      <c r="C194">
        <v>1</v>
      </c>
      <c r="D194" t="s">
        <v>776</v>
      </c>
      <c r="E194">
        <f>+Pedido!B197</f>
        <v>0</v>
      </c>
    </row>
    <row r="195" spans="1:5" x14ac:dyDescent="0.25">
      <c r="A195">
        <f>+Pedido!A198</f>
        <v>0</v>
      </c>
      <c r="C195">
        <v>1</v>
      </c>
      <c r="D195" t="s">
        <v>776</v>
      </c>
      <c r="E195">
        <f>+Pedido!B198</f>
        <v>0</v>
      </c>
    </row>
    <row r="196" spans="1:5" x14ac:dyDescent="0.25">
      <c r="A196">
        <f>+Pedido!A199</f>
        <v>0</v>
      </c>
      <c r="C196">
        <v>1</v>
      </c>
      <c r="D196" t="s">
        <v>776</v>
      </c>
      <c r="E196">
        <f>+Pedido!B199</f>
        <v>0</v>
      </c>
    </row>
    <row r="197" spans="1:5" x14ac:dyDescent="0.25">
      <c r="A197">
        <f>+Pedido!A200</f>
        <v>0</v>
      </c>
      <c r="C197">
        <v>1</v>
      </c>
      <c r="D197" t="s">
        <v>776</v>
      </c>
      <c r="E197">
        <f>+Pedido!B200</f>
        <v>0</v>
      </c>
    </row>
    <row r="198" spans="1:5" x14ac:dyDescent="0.25">
      <c r="A198">
        <f>+Pedido!A201</f>
        <v>0</v>
      </c>
      <c r="C198">
        <v>1</v>
      </c>
      <c r="D198" t="s">
        <v>776</v>
      </c>
      <c r="E198">
        <f>+Pedido!B201</f>
        <v>0</v>
      </c>
    </row>
    <row r="199" spans="1:5" x14ac:dyDescent="0.25">
      <c r="A199">
        <f>+Pedido!A202</f>
        <v>0</v>
      </c>
      <c r="C199">
        <v>1</v>
      </c>
      <c r="D199" t="s">
        <v>776</v>
      </c>
      <c r="E199">
        <f>+Pedido!B202</f>
        <v>0</v>
      </c>
    </row>
    <row r="200" spans="1:5" x14ac:dyDescent="0.25">
      <c r="A200">
        <f>+Pedido!A203</f>
        <v>0</v>
      </c>
      <c r="C200">
        <v>1</v>
      </c>
      <c r="D200" t="s">
        <v>776</v>
      </c>
      <c r="E200">
        <f>+Pedido!B203</f>
        <v>0</v>
      </c>
    </row>
    <row r="201" spans="1:5" x14ac:dyDescent="0.25">
      <c r="A201">
        <f>+Pedido!A204</f>
        <v>0</v>
      </c>
      <c r="C201">
        <v>1</v>
      </c>
      <c r="D201" t="s">
        <v>776</v>
      </c>
      <c r="E201">
        <f>+Pedido!B204</f>
        <v>0</v>
      </c>
    </row>
    <row r="202" spans="1:5" x14ac:dyDescent="0.25">
      <c r="A202">
        <f>+Pedido!A205</f>
        <v>0</v>
      </c>
      <c r="C202">
        <v>1</v>
      </c>
      <c r="D202" t="s">
        <v>776</v>
      </c>
      <c r="E202">
        <f>+Pedido!B205</f>
        <v>0</v>
      </c>
    </row>
    <row r="203" spans="1:5" x14ac:dyDescent="0.25">
      <c r="A203">
        <f>+Pedido!A206</f>
        <v>0</v>
      </c>
      <c r="C203">
        <v>1</v>
      </c>
      <c r="D203" t="s">
        <v>776</v>
      </c>
      <c r="E203">
        <f>+Pedido!B206</f>
        <v>0</v>
      </c>
    </row>
    <row r="204" spans="1:5" x14ac:dyDescent="0.25">
      <c r="A204">
        <f>+Pedido!A207</f>
        <v>0</v>
      </c>
      <c r="C204">
        <v>1</v>
      </c>
      <c r="D204" t="s">
        <v>776</v>
      </c>
      <c r="E204">
        <f>+Pedido!B207</f>
        <v>0</v>
      </c>
    </row>
    <row r="205" spans="1:5" x14ac:dyDescent="0.25">
      <c r="A205">
        <f>+Pedido!A208</f>
        <v>0</v>
      </c>
      <c r="C205">
        <v>1</v>
      </c>
      <c r="D205" t="s">
        <v>776</v>
      </c>
      <c r="E205">
        <f>+Pedido!B208</f>
        <v>0</v>
      </c>
    </row>
    <row r="206" spans="1:5" x14ac:dyDescent="0.25">
      <c r="A206">
        <f>+Pedido!A209</f>
        <v>0</v>
      </c>
      <c r="C206">
        <v>1</v>
      </c>
      <c r="D206" t="s">
        <v>776</v>
      </c>
      <c r="E206">
        <f>+Pedido!B209</f>
        <v>0</v>
      </c>
    </row>
    <row r="207" spans="1:5" x14ac:dyDescent="0.25">
      <c r="A207">
        <f>+Pedido!A210</f>
        <v>0</v>
      </c>
      <c r="C207">
        <v>1</v>
      </c>
      <c r="D207" t="s">
        <v>776</v>
      </c>
      <c r="E207">
        <f>+Pedido!B210</f>
        <v>0</v>
      </c>
    </row>
    <row r="208" spans="1:5" x14ac:dyDescent="0.25">
      <c r="A208">
        <f>+Pedido!A211</f>
        <v>0</v>
      </c>
      <c r="C208">
        <v>1</v>
      </c>
      <c r="D208" t="s">
        <v>776</v>
      </c>
      <c r="E208">
        <f>+Pedido!B211</f>
        <v>0</v>
      </c>
    </row>
    <row r="209" spans="1:5" x14ac:dyDescent="0.25">
      <c r="A209">
        <f>+Pedido!A212</f>
        <v>0</v>
      </c>
      <c r="C209">
        <v>1</v>
      </c>
      <c r="D209" t="s">
        <v>776</v>
      </c>
      <c r="E209">
        <f>+Pedido!B212</f>
        <v>0</v>
      </c>
    </row>
    <row r="210" spans="1:5" x14ac:dyDescent="0.25">
      <c r="A210">
        <f>+Pedido!A213</f>
        <v>0</v>
      </c>
      <c r="C210">
        <v>1</v>
      </c>
      <c r="D210" t="s">
        <v>776</v>
      </c>
      <c r="E210">
        <f>+Pedido!B213</f>
        <v>0</v>
      </c>
    </row>
    <row r="211" spans="1:5" x14ac:dyDescent="0.25">
      <c r="A211">
        <f>+Pedido!A214</f>
        <v>0</v>
      </c>
      <c r="C211">
        <v>1</v>
      </c>
      <c r="D211" t="s">
        <v>776</v>
      </c>
      <c r="E211">
        <f>+Pedido!B214</f>
        <v>0</v>
      </c>
    </row>
    <row r="212" spans="1:5" x14ac:dyDescent="0.25">
      <c r="A212">
        <f>+Pedido!A215</f>
        <v>0</v>
      </c>
      <c r="C212">
        <v>1</v>
      </c>
      <c r="D212" t="s">
        <v>776</v>
      </c>
      <c r="E212">
        <f>+Pedido!B215</f>
        <v>0</v>
      </c>
    </row>
    <row r="213" spans="1:5" x14ac:dyDescent="0.25">
      <c r="A213">
        <f>+Pedido!A216</f>
        <v>0</v>
      </c>
      <c r="C213">
        <v>1</v>
      </c>
      <c r="D213" t="s">
        <v>776</v>
      </c>
      <c r="E213">
        <f>+Pedido!B216</f>
        <v>0</v>
      </c>
    </row>
    <row r="214" spans="1:5" x14ac:dyDescent="0.25">
      <c r="A214">
        <f>+Pedido!A217</f>
        <v>0</v>
      </c>
      <c r="C214">
        <v>1</v>
      </c>
      <c r="D214" t="s">
        <v>776</v>
      </c>
      <c r="E214">
        <f>+Pedido!B217</f>
        <v>0</v>
      </c>
    </row>
    <row r="215" spans="1:5" x14ac:dyDescent="0.25">
      <c r="A215">
        <f>+Pedido!A218</f>
        <v>0</v>
      </c>
      <c r="C215">
        <v>1</v>
      </c>
      <c r="D215" t="s">
        <v>776</v>
      </c>
      <c r="E215">
        <f>+Pedido!B218</f>
        <v>0</v>
      </c>
    </row>
    <row r="216" spans="1:5" x14ac:dyDescent="0.25">
      <c r="A216">
        <f>+Pedido!A219</f>
        <v>0</v>
      </c>
      <c r="C216">
        <v>1</v>
      </c>
      <c r="D216" t="s">
        <v>776</v>
      </c>
      <c r="E216">
        <f>+Pedido!B219</f>
        <v>0</v>
      </c>
    </row>
    <row r="217" spans="1:5" x14ac:dyDescent="0.25">
      <c r="A217">
        <f>+Pedido!A220</f>
        <v>0</v>
      </c>
      <c r="C217">
        <v>1</v>
      </c>
      <c r="D217" t="s">
        <v>776</v>
      </c>
      <c r="E217">
        <f>+Pedido!B220</f>
        <v>0</v>
      </c>
    </row>
    <row r="218" spans="1:5" x14ac:dyDescent="0.25">
      <c r="A218">
        <f>+Pedido!A221</f>
        <v>0</v>
      </c>
      <c r="C218">
        <v>1</v>
      </c>
      <c r="D218" t="s">
        <v>776</v>
      </c>
      <c r="E218">
        <f>+Pedido!B221</f>
        <v>0</v>
      </c>
    </row>
    <row r="219" spans="1:5" x14ac:dyDescent="0.25">
      <c r="A219">
        <f>+Pedido!A222</f>
        <v>0</v>
      </c>
      <c r="C219">
        <v>1</v>
      </c>
      <c r="D219" t="s">
        <v>776</v>
      </c>
      <c r="E219">
        <f>+Pedido!B222</f>
        <v>0</v>
      </c>
    </row>
    <row r="220" spans="1:5" x14ac:dyDescent="0.25">
      <c r="A220">
        <f>+Pedido!A223</f>
        <v>0</v>
      </c>
      <c r="C220">
        <v>1</v>
      </c>
      <c r="D220" t="s">
        <v>776</v>
      </c>
      <c r="E220">
        <f>+Pedido!B223</f>
        <v>0</v>
      </c>
    </row>
    <row r="221" spans="1:5" x14ac:dyDescent="0.25">
      <c r="A221">
        <f>+Pedido!A224</f>
        <v>0</v>
      </c>
      <c r="C221">
        <v>1</v>
      </c>
      <c r="D221" t="s">
        <v>776</v>
      </c>
      <c r="E221">
        <f>+Pedido!B224</f>
        <v>0</v>
      </c>
    </row>
    <row r="222" spans="1:5" x14ac:dyDescent="0.25">
      <c r="A222">
        <f>+Pedido!A225</f>
        <v>0</v>
      </c>
      <c r="C222">
        <v>1</v>
      </c>
      <c r="D222" t="s">
        <v>776</v>
      </c>
      <c r="E222">
        <f>+Pedido!B225</f>
        <v>0</v>
      </c>
    </row>
    <row r="223" spans="1:5" x14ac:dyDescent="0.25">
      <c r="A223">
        <f>+Pedido!A226</f>
        <v>0</v>
      </c>
      <c r="C223">
        <v>1</v>
      </c>
      <c r="D223" t="s">
        <v>776</v>
      </c>
      <c r="E223">
        <f>+Pedido!B226</f>
        <v>0</v>
      </c>
    </row>
    <row r="224" spans="1:5" x14ac:dyDescent="0.25">
      <c r="A224">
        <f>+Pedido!A227</f>
        <v>0</v>
      </c>
      <c r="C224">
        <v>1</v>
      </c>
      <c r="D224" t="s">
        <v>776</v>
      </c>
      <c r="E224">
        <f>+Pedido!B227</f>
        <v>0</v>
      </c>
    </row>
    <row r="225" spans="1:5" x14ac:dyDescent="0.25">
      <c r="A225">
        <f>+Pedido!A228</f>
        <v>0</v>
      </c>
      <c r="C225">
        <v>1</v>
      </c>
      <c r="D225" t="s">
        <v>776</v>
      </c>
      <c r="E225">
        <f>+Pedido!B228</f>
        <v>0</v>
      </c>
    </row>
    <row r="226" spans="1:5" x14ac:dyDescent="0.25">
      <c r="A226">
        <f>+Pedido!A229</f>
        <v>0</v>
      </c>
      <c r="C226">
        <v>1</v>
      </c>
      <c r="D226" t="s">
        <v>776</v>
      </c>
      <c r="E226">
        <f>+Pedido!B229</f>
        <v>0</v>
      </c>
    </row>
    <row r="227" spans="1:5" x14ac:dyDescent="0.25">
      <c r="A227">
        <f>+Pedido!A230</f>
        <v>0</v>
      </c>
      <c r="C227">
        <v>1</v>
      </c>
      <c r="D227" t="s">
        <v>776</v>
      </c>
      <c r="E227">
        <f>+Pedido!B230</f>
        <v>0</v>
      </c>
    </row>
    <row r="228" spans="1:5" x14ac:dyDescent="0.25">
      <c r="A228">
        <f>+Pedido!A231</f>
        <v>0</v>
      </c>
      <c r="C228">
        <v>1</v>
      </c>
      <c r="D228" t="s">
        <v>776</v>
      </c>
      <c r="E228">
        <f>+Pedido!B231</f>
        <v>0</v>
      </c>
    </row>
    <row r="229" spans="1:5" x14ac:dyDescent="0.25">
      <c r="A229">
        <f>+Pedido!A232</f>
        <v>0</v>
      </c>
      <c r="C229">
        <v>1</v>
      </c>
      <c r="D229" t="s">
        <v>776</v>
      </c>
      <c r="E229">
        <f>+Pedido!B232</f>
        <v>0</v>
      </c>
    </row>
    <row r="230" spans="1:5" x14ac:dyDescent="0.25">
      <c r="A230">
        <f>+Pedido!A233</f>
        <v>0</v>
      </c>
      <c r="C230">
        <v>1</v>
      </c>
      <c r="D230" t="s">
        <v>776</v>
      </c>
      <c r="E230">
        <f>+Pedido!B233</f>
        <v>0</v>
      </c>
    </row>
    <row r="231" spans="1:5" x14ac:dyDescent="0.25">
      <c r="A231">
        <f>+Pedido!A234</f>
        <v>0</v>
      </c>
      <c r="C231">
        <v>1</v>
      </c>
      <c r="D231" t="s">
        <v>776</v>
      </c>
      <c r="E231">
        <f>+Pedido!B234</f>
        <v>0</v>
      </c>
    </row>
    <row r="232" spans="1:5" x14ac:dyDescent="0.25">
      <c r="A232">
        <f>+Pedido!A235</f>
        <v>0</v>
      </c>
      <c r="C232">
        <v>1</v>
      </c>
      <c r="D232" t="s">
        <v>776</v>
      </c>
      <c r="E232">
        <f>+Pedido!B235</f>
        <v>0</v>
      </c>
    </row>
    <row r="233" spans="1:5" x14ac:dyDescent="0.25">
      <c r="A233">
        <f>+Pedido!A236</f>
        <v>0</v>
      </c>
      <c r="C233">
        <v>1</v>
      </c>
      <c r="D233" t="s">
        <v>776</v>
      </c>
      <c r="E233">
        <f>+Pedido!B236</f>
        <v>0</v>
      </c>
    </row>
    <row r="234" spans="1:5" x14ac:dyDescent="0.25">
      <c r="A234">
        <f>+Pedido!A237</f>
        <v>0</v>
      </c>
      <c r="C234">
        <v>1</v>
      </c>
      <c r="D234" t="s">
        <v>776</v>
      </c>
      <c r="E234">
        <f>+Pedido!B237</f>
        <v>0</v>
      </c>
    </row>
    <row r="235" spans="1:5" x14ac:dyDescent="0.25">
      <c r="A235">
        <f>+Pedido!A238</f>
        <v>0</v>
      </c>
      <c r="C235">
        <v>1</v>
      </c>
      <c r="D235" t="s">
        <v>776</v>
      </c>
      <c r="E235">
        <f>+Pedido!B238</f>
        <v>0</v>
      </c>
    </row>
    <row r="236" spans="1:5" x14ac:dyDescent="0.25">
      <c r="A236">
        <f>+Pedido!A239</f>
        <v>0</v>
      </c>
      <c r="C236">
        <v>1</v>
      </c>
      <c r="D236" t="s">
        <v>776</v>
      </c>
      <c r="E236">
        <f>+Pedido!B239</f>
        <v>0</v>
      </c>
    </row>
    <row r="237" spans="1:5" x14ac:dyDescent="0.25">
      <c r="A237">
        <f>+Pedido!A240</f>
        <v>0</v>
      </c>
      <c r="C237">
        <v>1</v>
      </c>
      <c r="D237" t="s">
        <v>776</v>
      </c>
      <c r="E237">
        <f>+Pedido!B240</f>
        <v>0</v>
      </c>
    </row>
    <row r="238" spans="1:5" x14ac:dyDescent="0.25">
      <c r="A238">
        <f>+Pedido!A241</f>
        <v>0</v>
      </c>
      <c r="C238">
        <v>1</v>
      </c>
      <c r="D238" t="s">
        <v>776</v>
      </c>
      <c r="E238">
        <f>+Pedido!B241</f>
        <v>0</v>
      </c>
    </row>
    <row r="239" spans="1:5" x14ac:dyDescent="0.25">
      <c r="A239">
        <f>+Pedido!A242</f>
        <v>0</v>
      </c>
      <c r="C239">
        <v>1</v>
      </c>
      <c r="D239" t="s">
        <v>776</v>
      </c>
      <c r="E239">
        <f>+Pedido!B242</f>
        <v>0</v>
      </c>
    </row>
    <row r="240" spans="1:5" x14ac:dyDescent="0.25">
      <c r="A240">
        <f>+Pedido!A243</f>
        <v>0</v>
      </c>
      <c r="C240">
        <v>1</v>
      </c>
      <c r="D240" t="s">
        <v>776</v>
      </c>
      <c r="E240">
        <f>+Pedido!B243</f>
        <v>0</v>
      </c>
    </row>
    <row r="241" spans="1:5" x14ac:dyDescent="0.25">
      <c r="A241">
        <f>+Pedido!A244</f>
        <v>0</v>
      </c>
      <c r="C241">
        <v>1</v>
      </c>
      <c r="D241" t="s">
        <v>776</v>
      </c>
      <c r="E241">
        <f>+Pedido!B244</f>
        <v>0</v>
      </c>
    </row>
    <row r="242" spans="1:5" x14ac:dyDescent="0.25">
      <c r="A242">
        <f>+Pedido!A245</f>
        <v>0</v>
      </c>
      <c r="C242">
        <v>1</v>
      </c>
      <c r="D242" t="s">
        <v>776</v>
      </c>
      <c r="E242">
        <f>+Pedido!B245</f>
        <v>0</v>
      </c>
    </row>
    <row r="243" spans="1:5" x14ac:dyDescent="0.25">
      <c r="A243">
        <f>+Pedido!A246</f>
        <v>0</v>
      </c>
      <c r="C243">
        <v>1</v>
      </c>
      <c r="D243" t="s">
        <v>776</v>
      </c>
      <c r="E243">
        <f>+Pedido!B246</f>
        <v>0</v>
      </c>
    </row>
    <row r="244" spans="1:5" x14ac:dyDescent="0.25">
      <c r="A244">
        <f>+Pedido!A247</f>
        <v>0</v>
      </c>
      <c r="C244">
        <v>1</v>
      </c>
      <c r="D244" t="s">
        <v>776</v>
      </c>
      <c r="E244">
        <f>+Pedido!B247</f>
        <v>0</v>
      </c>
    </row>
    <row r="245" spans="1:5" x14ac:dyDescent="0.25">
      <c r="A245">
        <f>+Pedido!A248</f>
        <v>0</v>
      </c>
      <c r="C245">
        <v>1</v>
      </c>
      <c r="D245" t="s">
        <v>776</v>
      </c>
      <c r="E245">
        <f>+Pedido!B248</f>
        <v>0</v>
      </c>
    </row>
    <row r="246" spans="1:5" x14ac:dyDescent="0.25">
      <c r="A246">
        <f>+Pedido!A249</f>
        <v>0</v>
      </c>
      <c r="C246">
        <v>1</v>
      </c>
      <c r="D246" t="s">
        <v>776</v>
      </c>
      <c r="E246">
        <f>+Pedido!B249</f>
        <v>0</v>
      </c>
    </row>
    <row r="247" spans="1:5" x14ac:dyDescent="0.25">
      <c r="A247">
        <f>+Pedido!A250</f>
        <v>0</v>
      </c>
      <c r="C247">
        <v>1</v>
      </c>
      <c r="D247" t="s">
        <v>776</v>
      </c>
      <c r="E247">
        <f>+Pedido!B250</f>
        <v>0</v>
      </c>
    </row>
    <row r="248" spans="1:5" x14ac:dyDescent="0.25">
      <c r="A248">
        <f>+Pedido!A251</f>
        <v>0</v>
      </c>
      <c r="C248">
        <v>1</v>
      </c>
      <c r="D248" t="s">
        <v>776</v>
      </c>
      <c r="E248">
        <f>+Pedido!B251</f>
        <v>0</v>
      </c>
    </row>
    <row r="249" spans="1:5" x14ac:dyDescent="0.25">
      <c r="A249">
        <f>+Pedido!A252</f>
        <v>0</v>
      </c>
      <c r="C249">
        <v>1</v>
      </c>
      <c r="D249" t="s">
        <v>776</v>
      </c>
      <c r="E249">
        <f>+Pedido!B252</f>
        <v>0</v>
      </c>
    </row>
    <row r="250" spans="1:5" x14ac:dyDescent="0.25">
      <c r="A250">
        <f>+Pedido!A253</f>
        <v>0</v>
      </c>
      <c r="C250">
        <v>1</v>
      </c>
      <c r="D250" t="s">
        <v>776</v>
      </c>
      <c r="E250">
        <f>+Pedido!B253</f>
        <v>0</v>
      </c>
    </row>
    <row r="251" spans="1:5" x14ac:dyDescent="0.25">
      <c r="A251">
        <f>+Pedido!A254</f>
        <v>0</v>
      </c>
      <c r="C251">
        <v>1</v>
      </c>
      <c r="D251" t="s">
        <v>776</v>
      </c>
      <c r="E251">
        <f>+Pedido!B254</f>
        <v>0</v>
      </c>
    </row>
    <row r="252" spans="1:5" x14ac:dyDescent="0.25">
      <c r="A252">
        <f>+Pedido!A255</f>
        <v>0</v>
      </c>
      <c r="C252">
        <v>1</v>
      </c>
      <c r="D252" t="s">
        <v>776</v>
      </c>
      <c r="E252">
        <f>+Pedido!B255</f>
        <v>0</v>
      </c>
    </row>
    <row r="253" spans="1:5" x14ac:dyDescent="0.25">
      <c r="A253">
        <f>+Pedido!A256</f>
        <v>0</v>
      </c>
      <c r="C253">
        <v>1</v>
      </c>
      <c r="D253" t="s">
        <v>776</v>
      </c>
      <c r="E253">
        <f>+Pedido!B256</f>
        <v>0</v>
      </c>
    </row>
    <row r="254" spans="1:5" x14ac:dyDescent="0.25">
      <c r="A254">
        <f>+Pedido!A257</f>
        <v>0</v>
      </c>
      <c r="C254">
        <v>1</v>
      </c>
      <c r="D254" t="s">
        <v>776</v>
      </c>
      <c r="E254">
        <f>+Pedido!B257</f>
        <v>0</v>
      </c>
    </row>
    <row r="255" spans="1:5" x14ac:dyDescent="0.25">
      <c r="A255">
        <f>+Pedido!A258</f>
        <v>0</v>
      </c>
      <c r="C255">
        <v>1</v>
      </c>
      <c r="D255" t="s">
        <v>776</v>
      </c>
      <c r="E255">
        <f>+Pedido!B258</f>
        <v>0</v>
      </c>
    </row>
    <row r="256" spans="1:5" x14ac:dyDescent="0.25">
      <c r="A256">
        <f>+Pedido!A259</f>
        <v>0</v>
      </c>
      <c r="C256">
        <v>1</v>
      </c>
      <c r="D256" t="s">
        <v>776</v>
      </c>
      <c r="E256">
        <f>+Pedido!B259</f>
        <v>0</v>
      </c>
    </row>
    <row r="257" spans="1:5" x14ac:dyDescent="0.25">
      <c r="A257">
        <f>+Pedido!A260</f>
        <v>0</v>
      </c>
      <c r="C257">
        <v>1</v>
      </c>
      <c r="D257" t="s">
        <v>776</v>
      </c>
      <c r="E257">
        <f>+Pedido!B260</f>
        <v>0</v>
      </c>
    </row>
    <row r="258" spans="1:5" x14ac:dyDescent="0.25">
      <c r="A258">
        <f>+Pedido!A261</f>
        <v>0</v>
      </c>
      <c r="C258">
        <v>1</v>
      </c>
      <c r="D258" t="s">
        <v>776</v>
      </c>
      <c r="E258">
        <f>+Pedido!B261</f>
        <v>0</v>
      </c>
    </row>
    <row r="259" spans="1:5" x14ac:dyDescent="0.25">
      <c r="A259">
        <f>+Pedido!A262</f>
        <v>0</v>
      </c>
      <c r="C259">
        <v>1</v>
      </c>
      <c r="D259" t="s">
        <v>776</v>
      </c>
      <c r="E259">
        <f>+Pedido!B262</f>
        <v>0</v>
      </c>
    </row>
    <row r="260" spans="1:5" x14ac:dyDescent="0.25">
      <c r="A260">
        <f>+Pedido!A263</f>
        <v>0</v>
      </c>
      <c r="C260">
        <v>1</v>
      </c>
      <c r="D260" t="s">
        <v>776</v>
      </c>
      <c r="E260">
        <f>+Pedido!B263</f>
        <v>0</v>
      </c>
    </row>
    <row r="261" spans="1:5" x14ac:dyDescent="0.25">
      <c r="A261">
        <f>+Pedido!A264</f>
        <v>0</v>
      </c>
      <c r="C261">
        <v>1</v>
      </c>
      <c r="D261" t="s">
        <v>776</v>
      </c>
      <c r="E261">
        <f>+Pedido!B264</f>
        <v>0</v>
      </c>
    </row>
    <row r="262" spans="1:5" x14ac:dyDescent="0.25">
      <c r="A262">
        <f>+Pedido!A265</f>
        <v>0</v>
      </c>
      <c r="C262">
        <v>1</v>
      </c>
      <c r="D262" t="s">
        <v>776</v>
      </c>
      <c r="E262">
        <f>+Pedido!B265</f>
        <v>0</v>
      </c>
    </row>
    <row r="263" spans="1:5" x14ac:dyDescent="0.25">
      <c r="A263">
        <f>+Pedido!A266</f>
        <v>0</v>
      </c>
      <c r="C263">
        <v>1</v>
      </c>
      <c r="D263" t="s">
        <v>776</v>
      </c>
      <c r="E263">
        <f>+Pedido!B266</f>
        <v>0</v>
      </c>
    </row>
    <row r="264" spans="1:5" x14ac:dyDescent="0.25">
      <c r="A264">
        <f>+Pedido!A267</f>
        <v>0</v>
      </c>
      <c r="C264">
        <v>1</v>
      </c>
      <c r="D264" t="s">
        <v>776</v>
      </c>
      <c r="E264">
        <f>+Pedido!B267</f>
        <v>0</v>
      </c>
    </row>
    <row r="265" spans="1:5" x14ac:dyDescent="0.25">
      <c r="A265">
        <f>+Pedido!A268</f>
        <v>0</v>
      </c>
      <c r="C265">
        <v>1</v>
      </c>
      <c r="D265" t="s">
        <v>776</v>
      </c>
      <c r="E265">
        <f>+Pedido!B268</f>
        <v>0</v>
      </c>
    </row>
    <row r="266" spans="1:5" x14ac:dyDescent="0.25">
      <c r="A266">
        <f>+Pedido!A269</f>
        <v>0</v>
      </c>
      <c r="C266">
        <v>1</v>
      </c>
      <c r="D266" t="s">
        <v>776</v>
      </c>
      <c r="E266">
        <f>+Pedido!B269</f>
        <v>0</v>
      </c>
    </row>
    <row r="267" spans="1:5" x14ac:dyDescent="0.25">
      <c r="A267">
        <f>+Pedido!A270</f>
        <v>0</v>
      </c>
      <c r="C267">
        <v>1</v>
      </c>
      <c r="D267" t="s">
        <v>776</v>
      </c>
      <c r="E267">
        <f>+Pedido!B270</f>
        <v>0</v>
      </c>
    </row>
    <row r="268" spans="1:5" x14ac:dyDescent="0.25">
      <c r="A268">
        <f>+Pedido!A271</f>
        <v>0</v>
      </c>
      <c r="C268">
        <v>1</v>
      </c>
      <c r="D268" t="s">
        <v>776</v>
      </c>
      <c r="E268">
        <f>+Pedido!B271</f>
        <v>0</v>
      </c>
    </row>
    <row r="269" spans="1:5" x14ac:dyDescent="0.25">
      <c r="A269">
        <f>+Pedido!A272</f>
        <v>0</v>
      </c>
      <c r="C269">
        <v>1</v>
      </c>
      <c r="D269" t="s">
        <v>776</v>
      </c>
      <c r="E269">
        <f>+Pedido!B272</f>
        <v>0</v>
      </c>
    </row>
    <row r="270" spans="1:5" x14ac:dyDescent="0.25">
      <c r="A270">
        <f>+Pedido!A273</f>
        <v>0</v>
      </c>
      <c r="C270">
        <v>1</v>
      </c>
      <c r="D270" t="s">
        <v>776</v>
      </c>
      <c r="E270">
        <f>+Pedido!B273</f>
        <v>0</v>
      </c>
    </row>
    <row r="271" spans="1:5" x14ac:dyDescent="0.25">
      <c r="A271">
        <f>+Pedido!A274</f>
        <v>0</v>
      </c>
      <c r="C271">
        <v>1</v>
      </c>
      <c r="D271" t="s">
        <v>776</v>
      </c>
      <c r="E271">
        <f>+Pedido!B274</f>
        <v>0</v>
      </c>
    </row>
    <row r="272" spans="1:5" x14ac:dyDescent="0.25">
      <c r="A272">
        <f>+Pedido!A275</f>
        <v>0</v>
      </c>
      <c r="C272">
        <v>1</v>
      </c>
      <c r="D272" t="s">
        <v>776</v>
      </c>
      <c r="E272">
        <f>+Pedido!B275</f>
        <v>0</v>
      </c>
    </row>
    <row r="273" spans="1:5" x14ac:dyDescent="0.25">
      <c r="A273">
        <f>+Pedido!A276</f>
        <v>0</v>
      </c>
      <c r="C273">
        <v>1</v>
      </c>
      <c r="D273" t="s">
        <v>776</v>
      </c>
      <c r="E273">
        <f>+Pedido!B276</f>
        <v>0</v>
      </c>
    </row>
    <row r="274" spans="1:5" x14ac:dyDescent="0.25">
      <c r="A274">
        <f>+Pedido!A277</f>
        <v>0</v>
      </c>
      <c r="C274">
        <v>1</v>
      </c>
      <c r="D274" t="s">
        <v>776</v>
      </c>
      <c r="E274">
        <f>+Pedido!B277</f>
        <v>0</v>
      </c>
    </row>
    <row r="275" spans="1:5" x14ac:dyDescent="0.25">
      <c r="A275">
        <f>+Pedido!A278</f>
        <v>0</v>
      </c>
      <c r="C275">
        <v>1</v>
      </c>
      <c r="D275" t="s">
        <v>776</v>
      </c>
      <c r="E275">
        <f>+Pedido!B278</f>
        <v>0</v>
      </c>
    </row>
    <row r="276" spans="1:5" x14ac:dyDescent="0.25">
      <c r="A276">
        <f>+Pedido!A279</f>
        <v>0</v>
      </c>
      <c r="C276">
        <v>1</v>
      </c>
      <c r="D276" t="s">
        <v>776</v>
      </c>
      <c r="E276">
        <f>+Pedido!B279</f>
        <v>0</v>
      </c>
    </row>
    <row r="277" spans="1:5" x14ac:dyDescent="0.25">
      <c r="A277">
        <f>+Pedido!A280</f>
        <v>0</v>
      </c>
      <c r="C277">
        <v>1</v>
      </c>
      <c r="D277" t="s">
        <v>776</v>
      </c>
      <c r="E277">
        <f>+Pedido!B280</f>
        <v>0</v>
      </c>
    </row>
    <row r="278" spans="1:5" x14ac:dyDescent="0.25">
      <c r="A278">
        <f>+Pedido!A281</f>
        <v>0</v>
      </c>
      <c r="C278">
        <v>1</v>
      </c>
      <c r="D278" t="s">
        <v>776</v>
      </c>
      <c r="E278">
        <f>+Pedido!B281</f>
        <v>0</v>
      </c>
    </row>
    <row r="279" spans="1:5" x14ac:dyDescent="0.25">
      <c r="A279">
        <f>+Pedido!A282</f>
        <v>0</v>
      </c>
      <c r="C279">
        <v>1</v>
      </c>
      <c r="D279" t="s">
        <v>776</v>
      </c>
      <c r="E279">
        <f>+Pedido!B282</f>
        <v>0</v>
      </c>
    </row>
    <row r="280" spans="1:5" x14ac:dyDescent="0.25">
      <c r="A280">
        <f>+Pedido!A283</f>
        <v>0</v>
      </c>
      <c r="C280">
        <v>1</v>
      </c>
      <c r="D280" t="s">
        <v>776</v>
      </c>
      <c r="E280">
        <f>+Pedido!B283</f>
        <v>0</v>
      </c>
    </row>
    <row r="281" spans="1:5" x14ac:dyDescent="0.25">
      <c r="A281">
        <f>+Pedido!A284</f>
        <v>0</v>
      </c>
      <c r="C281">
        <v>1</v>
      </c>
      <c r="D281" t="s">
        <v>776</v>
      </c>
      <c r="E281">
        <f>+Pedido!B284</f>
        <v>0</v>
      </c>
    </row>
    <row r="282" spans="1:5" x14ac:dyDescent="0.25">
      <c r="A282">
        <f>+Pedido!A285</f>
        <v>0</v>
      </c>
      <c r="C282">
        <v>1</v>
      </c>
      <c r="D282" t="s">
        <v>776</v>
      </c>
      <c r="E282">
        <f>+Pedido!B285</f>
        <v>0</v>
      </c>
    </row>
    <row r="283" spans="1:5" x14ac:dyDescent="0.25">
      <c r="A283">
        <f>+Pedido!A286</f>
        <v>0</v>
      </c>
      <c r="C283">
        <v>1</v>
      </c>
      <c r="D283" t="s">
        <v>776</v>
      </c>
      <c r="E283">
        <f>+Pedido!B286</f>
        <v>0</v>
      </c>
    </row>
    <row r="284" spans="1:5" x14ac:dyDescent="0.25">
      <c r="A284">
        <f>+Pedido!A287</f>
        <v>0</v>
      </c>
      <c r="C284">
        <v>1</v>
      </c>
      <c r="D284" t="s">
        <v>776</v>
      </c>
      <c r="E284">
        <f>+Pedido!B287</f>
        <v>0</v>
      </c>
    </row>
    <row r="285" spans="1:5" x14ac:dyDescent="0.25">
      <c r="A285">
        <f>+Pedido!A288</f>
        <v>0</v>
      </c>
      <c r="C285">
        <v>1</v>
      </c>
      <c r="D285" t="s">
        <v>776</v>
      </c>
      <c r="E285">
        <f>+Pedido!B288</f>
        <v>0</v>
      </c>
    </row>
    <row r="286" spans="1:5" x14ac:dyDescent="0.25">
      <c r="A286">
        <f>+Pedido!A289</f>
        <v>0</v>
      </c>
      <c r="C286">
        <v>1</v>
      </c>
      <c r="D286" t="s">
        <v>776</v>
      </c>
      <c r="E286">
        <f>+Pedido!B289</f>
        <v>0</v>
      </c>
    </row>
    <row r="287" spans="1:5" x14ac:dyDescent="0.25">
      <c r="A287">
        <f>+Pedido!A290</f>
        <v>0</v>
      </c>
      <c r="C287">
        <v>1</v>
      </c>
      <c r="D287" t="s">
        <v>776</v>
      </c>
      <c r="E287">
        <f>+Pedido!B290</f>
        <v>0</v>
      </c>
    </row>
    <row r="288" spans="1:5" x14ac:dyDescent="0.25">
      <c r="A288">
        <f>+Pedido!A291</f>
        <v>0</v>
      </c>
      <c r="C288">
        <v>1</v>
      </c>
      <c r="D288" t="s">
        <v>776</v>
      </c>
      <c r="E288">
        <f>+Pedido!B291</f>
        <v>0</v>
      </c>
    </row>
    <row r="289" spans="1:5" x14ac:dyDescent="0.25">
      <c r="A289">
        <f>+Pedido!A292</f>
        <v>0</v>
      </c>
      <c r="C289">
        <v>1</v>
      </c>
      <c r="D289" t="s">
        <v>776</v>
      </c>
      <c r="E289">
        <f>+Pedido!B292</f>
        <v>0</v>
      </c>
    </row>
    <row r="290" spans="1:5" x14ac:dyDescent="0.25">
      <c r="A290">
        <f>+Pedido!A293</f>
        <v>0</v>
      </c>
      <c r="C290">
        <v>1</v>
      </c>
      <c r="D290" t="s">
        <v>776</v>
      </c>
      <c r="E290">
        <f>+Pedido!B293</f>
        <v>0</v>
      </c>
    </row>
    <row r="291" spans="1:5" x14ac:dyDescent="0.25">
      <c r="A291">
        <f>+Pedido!A294</f>
        <v>0</v>
      </c>
      <c r="C291">
        <v>1</v>
      </c>
      <c r="D291" t="s">
        <v>776</v>
      </c>
      <c r="E291">
        <f>+Pedido!B294</f>
        <v>0</v>
      </c>
    </row>
    <row r="292" spans="1:5" x14ac:dyDescent="0.25">
      <c r="A292">
        <f>+Pedido!A295</f>
        <v>0</v>
      </c>
      <c r="C292">
        <v>1</v>
      </c>
      <c r="D292" t="s">
        <v>776</v>
      </c>
      <c r="E292">
        <f>+Pedido!B295</f>
        <v>0</v>
      </c>
    </row>
    <row r="293" spans="1:5" x14ac:dyDescent="0.25">
      <c r="A293">
        <f>+Pedido!A296</f>
        <v>0</v>
      </c>
      <c r="C293">
        <v>1</v>
      </c>
      <c r="D293" t="s">
        <v>776</v>
      </c>
      <c r="E293">
        <f>+Pedido!B296</f>
        <v>0</v>
      </c>
    </row>
    <row r="294" spans="1:5" x14ac:dyDescent="0.25">
      <c r="A294">
        <f>+Pedido!A297</f>
        <v>0</v>
      </c>
      <c r="C294">
        <v>1</v>
      </c>
      <c r="D294" t="s">
        <v>776</v>
      </c>
      <c r="E294">
        <f>+Pedido!B297</f>
        <v>0</v>
      </c>
    </row>
    <row r="295" spans="1:5" x14ac:dyDescent="0.25">
      <c r="A295">
        <f>+Pedido!A298</f>
        <v>0</v>
      </c>
      <c r="C295">
        <v>1</v>
      </c>
      <c r="D295" t="s">
        <v>776</v>
      </c>
      <c r="E295">
        <f>+Pedido!B298</f>
        <v>0</v>
      </c>
    </row>
    <row r="296" spans="1:5" x14ac:dyDescent="0.25">
      <c r="A296">
        <f>+Pedido!A299</f>
        <v>0</v>
      </c>
      <c r="C296">
        <v>1</v>
      </c>
      <c r="D296" t="s">
        <v>776</v>
      </c>
      <c r="E296">
        <f>+Pedido!B299</f>
        <v>0</v>
      </c>
    </row>
    <row r="297" spans="1:5" x14ac:dyDescent="0.25">
      <c r="A297">
        <f>+Pedido!A300</f>
        <v>0</v>
      </c>
      <c r="C297">
        <v>1</v>
      </c>
      <c r="D297" t="s">
        <v>776</v>
      </c>
      <c r="E297">
        <f>+Pedido!B300</f>
        <v>0</v>
      </c>
    </row>
    <row r="298" spans="1:5" x14ac:dyDescent="0.25">
      <c r="A298">
        <f>+Pedido!A301</f>
        <v>0</v>
      </c>
      <c r="C298">
        <v>1</v>
      </c>
      <c r="D298" t="s">
        <v>776</v>
      </c>
      <c r="E298">
        <f>+Pedido!B301</f>
        <v>0</v>
      </c>
    </row>
    <row r="299" spans="1:5" x14ac:dyDescent="0.25">
      <c r="A299">
        <f>+Pedido!A302</f>
        <v>0</v>
      </c>
      <c r="C299">
        <v>1</v>
      </c>
      <c r="D299" t="s">
        <v>776</v>
      </c>
      <c r="E299">
        <f>+Pedido!B302</f>
        <v>0</v>
      </c>
    </row>
    <row r="300" spans="1:5" x14ac:dyDescent="0.25">
      <c r="A300">
        <f>+Pedido!A303</f>
        <v>0</v>
      </c>
      <c r="C300">
        <v>1</v>
      </c>
      <c r="D300" t="s">
        <v>776</v>
      </c>
      <c r="E300">
        <f>+Pedido!B303</f>
        <v>0</v>
      </c>
    </row>
    <row r="301" spans="1:5" x14ac:dyDescent="0.25">
      <c r="A301">
        <f>+Pedido!A304</f>
        <v>0</v>
      </c>
      <c r="C301">
        <v>1</v>
      </c>
      <c r="D301" t="s">
        <v>776</v>
      </c>
      <c r="E301">
        <f>+Pedido!B304</f>
        <v>0</v>
      </c>
    </row>
    <row r="302" spans="1:5" x14ac:dyDescent="0.25">
      <c r="A302">
        <f>+Pedido!A305</f>
        <v>0</v>
      </c>
      <c r="C302">
        <v>1</v>
      </c>
      <c r="D302" t="s">
        <v>776</v>
      </c>
      <c r="E302">
        <f>+Pedido!B305</f>
        <v>0</v>
      </c>
    </row>
    <row r="303" spans="1:5" x14ac:dyDescent="0.25">
      <c r="A303">
        <f>+Pedido!A306</f>
        <v>0</v>
      </c>
      <c r="C303">
        <v>1</v>
      </c>
      <c r="D303" t="s">
        <v>776</v>
      </c>
      <c r="E303">
        <f>+Pedido!B306</f>
        <v>0</v>
      </c>
    </row>
    <row r="304" spans="1:5" x14ac:dyDescent="0.25">
      <c r="A304">
        <f>+Pedido!A307</f>
        <v>0</v>
      </c>
      <c r="C304">
        <v>1</v>
      </c>
      <c r="D304" t="s">
        <v>776</v>
      </c>
      <c r="E304">
        <f>+Pedido!B307</f>
        <v>0</v>
      </c>
    </row>
    <row r="305" spans="1:5" x14ac:dyDescent="0.25">
      <c r="A305">
        <f>+Pedido!A308</f>
        <v>0</v>
      </c>
      <c r="C305">
        <v>1</v>
      </c>
      <c r="D305" t="s">
        <v>776</v>
      </c>
      <c r="E305">
        <f>+Pedido!B308</f>
        <v>0</v>
      </c>
    </row>
    <row r="306" spans="1:5" x14ac:dyDescent="0.25">
      <c r="A306">
        <f>+Pedido!A309</f>
        <v>0</v>
      </c>
      <c r="C306">
        <v>1</v>
      </c>
      <c r="D306" t="s">
        <v>776</v>
      </c>
      <c r="E306">
        <f>+Pedido!B309</f>
        <v>0</v>
      </c>
    </row>
    <row r="307" spans="1:5" x14ac:dyDescent="0.25">
      <c r="A307">
        <f>+Pedido!A310</f>
        <v>0</v>
      </c>
      <c r="C307">
        <v>1</v>
      </c>
      <c r="D307" t="s">
        <v>776</v>
      </c>
      <c r="E307">
        <f>+Pedido!B310</f>
        <v>0</v>
      </c>
    </row>
    <row r="308" spans="1:5" x14ac:dyDescent="0.25">
      <c r="A308">
        <f>+Pedido!A311</f>
        <v>0</v>
      </c>
      <c r="C308">
        <v>1</v>
      </c>
      <c r="D308" t="s">
        <v>776</v>
      </c>
      <c r="E308">
        <f>+Pedido!B311</f>
        <v>0</v>
      </c>
    </row>
    <row r="309" spans="1:5" x14ac:dyDescent="0.25">
      <c r="A309">
        <f>+Pedido!A312</f>
        <v>0</v>
      </c>
      <c r="C309">
        <v>1</v>
      </c>
      <c r="D309" t="s">
        <v>776</v>
      </c>
      <c r="E309">
        <f>+Pedido!B312</f>
        <v>0</v>
      </c>
    </row>
    <row r="310" spans="1:5" x14ac:dyDescent="0.25">
      <c r="A310">
        <f>+Pedido!A313</f>
        <v>0</v>
      </c>
      <c r="C310">
        <v>1</v>
      </c>
      <c r="D310" t="s">
        <v>776</v>
      </c>
      <c r="E310">
        <f>+Pedido!B313</f>
        <v>0</v>
      </c>
    </row>
    <row r="311" spans="1:5" x14ac:dyDescent="0.25">
      <c r="A311">
        <f>+Pedido!A314</f>
        <v>0</v>
      </c>
      <c r="C311">
        <v>1</v>
      </c>
      <c r="D311" t="s">
        <v>776</v>
      </c>
      <c r="E311">
        <f>+Pedido!B314</f>
        <v>0</v>
      </c>
    </row>
    <row r="312" spans="1:5" x14ac:dyDescent="0.25">
      <c r="A312">
        <f>+Pedido!A315</f>
        <v>0</v>
      </c>
      <c r="C312">
        <v>1</v>
      </c>
      <c r="D312" t="s">
        <v>776</v>
      </c>
      <c r="E312">
        <f>+Pedido!B315</f>
        <v>0</v>
      </c>
    </row>
    <row r="313" spans="1:5" x14ac:dyDescent="0.25">
      <c r="A313">
        <f>+Pedido!A316</f>
        <v>0</v>
      </c>
      <c r="C313">
        <v>1</v>
      </c>
      <c r="D313" t="s">
        <v>776</v>
      </c>
      <c r="E313">
        <f>+Pedido!B316</f>
        <v>0</v>
      </c>
    </row>
    <row r="314" spans="1:5" x14ac:dyDescent="0.25">
      <c r="A314">
        <f>+Pedido!A317</f>
        <v>0</v>
      </c>
      <c r="C314">
        <v>1</v>
      </c>
      <c r="D314" t="s">
        <v>776</v>
      </c>
      <c r="E314">
        <f>+Pedido!B317</f>
        <v>0</v>
      </c>
    </row>
    <row r="315" spans="1:5" x14ac:dyDescent="0.25">
      <c r="A315">
        <f>+Pedido!A318</f>
        <v>0</v>
      </c>
      <c r="C315">
        <v>1</v>
      </c>
      <c r="D315" t="s">
        <v>776</v>
      </c>
      <c r="E315">
        <f>+Pedido!B318</f>
        <v>0</v>
      </c>
    </row>
    <row r="316" spans="1:5" x14ac:dyDescent="0.25">
      <c r="A316">
        <f>+Pedido!A319</f>
        <v>0</v>
      </c>
      <c r="C316">
        <v>1</v>
      </c>
      <c r="D316" t="s">
        <v>776</v>
      </c>
      <c r="E316">
        <f>+Pedido!B319</f>
        <v>0</v>
      </c>
    </row>
    <row r="317" spans="1:5" x14ac:dyDescent="0.25">
      <c r="A317">
        <f>+Pedido!A320</f>
        <v>0</v>
      </c>
      <c r="C317">
        <v>1</v>
      </c>
      <c r="D317" t="s">
        <v>776</v>
      </c>
      <c r="E317">
        <f>+Pedido!B320</f>
        <v>0</v>
      </c>
    </row>
    <row r="318" spans="1:5" x14ac:dyDescent="0.25">
      <c r="A318">
        <f>+Pedido!A321</f>
        <v>0</v>
      </c>
      <c r="C318">
        <v>1</v>
      </c>
      <c r="D318" t="s">
        <v>776</v>
      </c>
      <c r="E318">
        <f>+Pedido!B321</f>
        <v>0</v>
      </c>
    </row>
    <row r="319" spans="1:5" x14ac:dyDescent="0.25">
      <c r="A319">
        <f>+Pedido!A322</f>
        <v>0</v>
      </c>
      <c r="C319">
        <v>1</v>
      </c>
      <c r="D319" t="s">
        <v>776</v>
      </c>
      <c r="E319">
        <f>+Pedido!B322</f>
        <v>0</v>
      </c>
    </row>
    <row r="320" spans="1:5" x14ac:dyDescent="0.25">
      <c r="A320">
        <f>+Pedido!A323</f>
        <v>0</v>
      </c>
      <c r="C320">
        <v>1</v>
      </c>
      <c r="D320" t="s">
        <v>776</v>
      </c>
      <c r="E320">
        <f>+Pedido!B323</f>
        <v>0</v>
      </c>
    </row>
    <row r="321" spans="1:5" x14ac:dyDescent="0.25">
      <c r="A321">
        <f>+Pedido!A324</f>
        <v>0</v>
      </c>
      <c r="C321">
        <v>1</v>
      </c>
      <c r="D321" t="s">
        <v>776</v>
      </c>
      <c r="E321">
        <f>+Pedido!B324</f>
        <v>0</v>
      </c>
    </row>
    <row r="322" spans="1:5" x14ac:dyDescent="0.25">
      <c r="A322">
        <f>+Pedido!A325</f>
        <v>0</v>
      </c>
      <c r="C322">
        <v>1</v>
      </c>
      <c r="D322" t="s">
        <v>776</v>
      </c>
      <c r="E322">
        <f>+Pedido!B325</f>
        <v>0</v>
      </c>
    </row>
    <row r="323" spans="1:5" x14ac:dyDescent="0.25">
      <c r="A323">
        <f>+Pedido!A326</f>
        <v>0</v>
      </c>
      <c r="C323">
        <v>1</v>
      </c>
      <c r="D323" t="s">
        <v>776</v>
      </c>
      <c r="E323">
        <f>+Pedido!B326</f>
        <v>0</v>
      </c>
    </row>
    <row r="324" spans="1:5" x14ac:dyDescent="0.25">
      <c r="A324">
        <f>+Pedido!A327</f>
        <v>0</v>
      </c>
      <c r="C324">
        <v>1</v>
      </c>
      <c r="D324" t="s">
        <v>776</v>
      </c>
      <c r="E324">
        <f>+Pedido!B327</f>
        <v>0</v>
      </c>
    </row>
    <row r="325" spans="1:5" x14ac:dyDescent="0.25">
      <c r="A325">
        <f>+Pedido!A328</f>
        <v>0</v>
      </c>
      <c r="C325">
        <v>1</v>
      </c>
      <c r="D325" t="s">
        <v>776</v>
      </c>
      <c r="E325">
        <f>+Pedido!B328</f>
        <v>0</v>
      </c>
    </row>
    <row r="326" spans="1:5" x14ac:dyDescent="0.25">
      <c r="A326">
        <f>+Pedido!A329</f>
        <v>0</v>
      </c>
      <c r="C326">
        <v>1</v>
      </c>
      <c r="D326" t="s">
        <v>776</v>
      </c>
      <c r="E326">
        <f>+Pedido!B329</f>
        <v>0</v>
      </c>
    </row>
    <row r="327" spans="1:5" x14ac:dyDescent="0.25">
      <c r="A327">
        <f>+Pedido!A330</f>
        <v>0</v>
      </c>
      <c r="C327">
        <v>1</v>
      </c>
      <c r="D327" t="s">
        <v>776</v>
      </c>
      <c r="E327">
        <f>+Pedido!B330</f>
        <v>0</v>
      </c>
    </row>
    <row r="328" spans="1:5" x14ac:dyDescent="0.25">
      <c r="A328">
        <f>+Pedido!A331</f>
        <v>0</v>
      </c>
      <c r="C328">
        <v>1</v>
      </c>
      <c r="D328" t="s">
        <v>776</v>
      </c>
      <c r="E328">
        <f>+Pedido!B331</f>
        <v>0</v>
      </c>
    </row>
    <row r="329" spans="1:5" x14ac:dyDescent="0.25">
      <c r="A329">
        <f>+Pedido!A332</f>
        <v>0</v>
      </c>
      <c r="C329">
        <v>1</v>
      </c>
      <c r="D329" t="s">
        <v>776</v>
      </c>
      <c r="E329">
        <f>+Pedido!B332</f>
        <v>0</v>
      </c>
    </row>
    <row r="330" spans="1:5" x14ac:dyDescent="0.25">
      <c r="A330">
        <f>+Pedido!A333</f>
        <v>0</v>
      </c>
      <c r="C330">
        <v>1</v>
      </c>
      <c r="D330" t="s">
        <v>776</v>
      </c>
      <c r="E330">
        <f>+Pedido!B333</f>
        <v>0</v>
      </c>
    </row>
    <row r="331" spans="1:5" x14ac:dyDescent="0.25">
      <c r="A331">
        <f>+Pedido!A334</f>
        <v>0</v>
      </c>
      <c r="C331">
        <v>1</v>
      </c>
      <c r="D331" t="s">
        <v>776</v>
      </c>
      <c r="E331">
        <f>+Pedido!B334</f>
        <v>0</v>
      </c>
    </row>
    <row r="332" spans="1:5" x14ac:dyDescent="0.25">
      <c r="A332">
        <f>+Pedido!A335</f>
        <v>0</v>
      </c>
      <c r="C332">
        <v>1</v>
      </c>
      <c r="D332" t="s">
        <v>776</v>
      </c>
      <c r="E332">
        <f>+Pedido!B335</f>
        <v>0</v>
      </c>
    </row>
    <row r="333" spans="1:5" x14ac:dyDescent="0.25">
      <c r="A333">
        <f>+Pedido!A336</f>
        <v>0</v>
      </c>
      <c r="C333">
        <v>1</v>
      </c>
      <c r="D333" t="s">
        <v>776</v>
      </c>
      <c r="E333">
        <f>+Pedido!B336</f>
        <v>0</v>
      </c>
    </row>
    <row r="334" spans="1:5" x14ac:dyDescent="0.25">
      <c r="A334">
        <f>+Pedido!A337</f>
        <v>0</v>
      </c>
      <c r="C334">
        <v>1</v>
      </c>
      <c r="D334" t="s">
        <v>776</v>
      </c>
      <c r="E334">
        <f>+Pedido!B337</f>
        <v>0</v>
      </c>
    </row>
    <row r="335" spans="1:5" x14ac:dyDescent="0.25">
      <c r="A335">
        <f>+Pedido!A338</f>
        <v>0</v>
      </c>
      <c r="C335">
        <v>1</v>
      </c>
      <c r="D335" t="s">
        <v>776</v>
      </c>
      <c r="E335">
        <f>+Pedido!B338</f>
        <v>0</v>
      </c>
    </row>
    <row r="336" spans="1:5" x14ac:dyDescent="0.25">
      <c r="A336">
        <f>+Pedido!A339</f>
        <v>0</v>
      </c>
      <c r="C336">
        <v>1</v>
      </c>
      <c r="D336" t="s">
        <v>776</v>
      </c>
      <c r="E336">
        <f>+Pedido!B339</f>
        <v>0</v>
      </c>
    </row>
    <row r="337" spans="1:5" x14ac:dyDescent="0.25">
      <c r="A337">
        <f>+Pedido!A340</f>
        <v>0</v>
      </c>
      <c r="C337">
        <v>1</v>
      </c>
      <c r="D337" t="s">
        <v>776</v>
      </c>
      <c r="E337">
        <f>+Pedido!B340</f>
        <v>0</v>
      </c>
    </row>
    <row r="338" spans="1:5" x14ac:dyDescent="0.25">
      <c r="A338">
        <f>+Pedido!A341</f>
        <v>0</v>
      </c>
      <c r="C338">
        <v>1</v>
      </c>
      <c r="D338" t="s">
        <v>776</v>
      </c>
      <c r="E338">
        <f>+Pedido!B341</f>
        <v>0</v>
      </c>
    </row>
    <row r="339" spans="1:5" x14ac:dyDescent="0.25">
      <c r="A339">
        <f>+Pedido!A342</f>
        <v>0</v>
      </c>
      <c r="C339">
        <v>1</v>
      </c>
      <c r="D339" t="s">
        <v>776</v>
      </c>
      <c r="E339">
        <f>+Pedido!B342</f>
        <v>0</v>
      </c>
    </row>
    <row r="340" spans="1:5" x14ac:dyDescent="0.25">
      <c r="A340">
        <f>+Pedido!A343</f>
        <v>0</v>
      </c>
      <c r="C340">
        <v>1</v>
      </c>
      <c r="D340" t="s">
        <v>776</v>
      </c>
      <c r="E340">
        <f>+Pedido!B343</f>
        <v>0</v>
      </c>
    </row>
    <row r="341" spans="1:5" x14ac:dyDescent="0.25">
      <c r="A341">
        <f>+Pedido!A344</f>
        <v>0</v>
      </c>
      <c r="C341">
        <v>1</v>
      </c>
      <c r="D341" t="s">
        <v>776</v>
      </c>
      <c r="E341">
        <f>+Pedido!B344</f>
        <v>0</v>
      </c>
    </row>
    <row r="342" spans="1:5" x14ac:dyDescent="0.25">
      <c r="A342">
        <f>+Pedido!A345</f>
        <v>0</v>
      </c>
      <c r="C342">
        <v>1</v>
      </c>
      <c r="D342" t="s">
        <v>776</v>
      </c>
      <c r="E342">
        <f>+Pedido!B345</f>
        <v>0</v>
      </c>
    </row>
    <row r="343" spans="1:5" x14ac:dyDescent="0.25">
      <c r="A343">
        <f>+Pedido!A346</f>
        <v>0</v>
      </c>
      <c r="C343">
        <v>1</v>
      </c>
      <c r="D343" t="s">
        <v>776</v>
      </c>
      <c r="E343">
        <f>+Pedido!B346</f>
        <v>0</v>
      </c>
    </row>
    <row r="344" spans="1:5" x14ac:dyDescent="0.25">
      <c r="A344">
        <f>+Pedido!A347</f>
        <v>0</v>
      </c>
      <c r="C344">
        <v>1</v>
      </c>
      <c r="D344" t="s">
        <v>776</v>
      </c>
      <c r="E344">
        <f>+Pedido!B347</f>
        <v>0</v>
      </c>
    </row>
    <row r="345" spans="1:5" x14ac:dyDescent="0.25">
      <c r="A345">
        <f>+Pedido!A348</f>
        <v>0</v>
      </c>
      <c r="C345">
        <v>1</v>
      </c>
      <c r="D345" t="s">
        <v>776</v>
      </c>
      <c r="E345">
        <f>+Pedido!B348</f>
        <v>0</v>
      </c>
    </row>
    <row r="346" spans="1:5" x14ac:dyDescent="0.25">
      <c r="A346">
        <f>+Pedido!A349</f>
        <v>0</v>
      </c>
      <c r="C346">
        <v>1</v>
      </c>
      <c r="D346" t="s">
        <v>776</v>
      </c>
      <c r="E346">
        <f>+Pedido!B349</f>
        <v>0</v>
      </c>
    </row>
    <row r="347" spans="1:5" x14ac:dyDescent="0.25">
      <c r="A347">
        <f>+Pedido!A350</f>
        <v>0</v>
      </c>
      <c r="C347">
        <v>1</v>
      </c>
      <c r="D347" t="s">
        <v>776</v>
      </c>
      <c r="E347">
        <f>+Pedido!B350</f>
        <v>0</v>
      </c>
    </row>
    <row r="348" spans="1:5" x14ac:dyDescent="0.25">
      <c r="A348">
        <f>+Pedido!A351</f>
        <v>0</v>
      </c>
      <c r="C348">
        <v>1</v>
      </c>
      <c r="D348" t="s">
        <v>776</v>
      </c>
      <c r="E348">
        <f>+Pedido!B351</f>
        <v>0</v>
      </c>
    </row>
    <row r="349" spans="1:5" x14ac:dyDescent="0.25">
      <c r="A349">
        <f>+Pedido!A352</f>
        <v>0</v>
      </c>
      <c r="C349">
        <v>1</v>
      </c>
      <c r="D349" t="s">
        <v>776</v>
      </c>
      <c r="E349">
        <f>+Pedido!B352</f>
        <v>0</v>
      </c>
    </row>
    <row r="350" spans="1:5" x14ac:dyDescent="0.25">
      <c r="A350">
        <f>+Pedido!A353</f>
        <v>0</v>
      </c>
      <c r="C350">
        <v>1</v>
      </c>
      <c r="D350" t="s">
        <v>776</v>
      </c>
      <c r="E350">
        <f>+Pedido!B353</f>
        <v>0</v>
      </c>
    </row>
    <row r="351" spans="1:5" x14ac:dyDescent="0.25">
      <c r="A351">
        <f>+Pedido!A354</f>
        <v>0</v>
      </c>
      <c r="C351">
        <v>1</v>
      </c>
      <c r="D351" t="s">
        <v>776</v>
      </c>
      <c r="E351">
        <f>+Pedido!B354</f>
        <v>0</v>
      </c>
    </row>
    <row r="352" spans="1:5" x14ac:dyDescent="0.25">
      <c r="A352">
        <f>+Pedido!A355</f>
        <v>0</v>
      </c>
      <c r="C352">
        <v>1</v>
      </c>
      <c r="D352" t="s">
        <v>776</v>
      </c>
      <c r="E352">
        <f>+Pedido!B355</f>
        <v>0</v>
      </c>
    </row>
    <row r="353" spans="1:5" x14ac:dyDescent="0.25">
      <c r="A353">
        <f>+Pedido!A356</f>
        <v>0</v>
      </c>
      <c r="C353">
        <v>1</v>
      </c>
      <c r="D353" t="s">
        <v>776</v>
      </c>
      <c r="E353">
        <f>+Pedido!B356</f>
        <v>0</v>
      </c>
    </row>
    <row r="354" spans="1:5" x14ac:dyDescent="0.25">
      <c r="A354">
        <f>+Pedido!A357</f>
        <v>0</v>
      </c>
      <c r="C354">
        <v>1</v>
      </c>
      <c r="D354" t="s">
        <v>776</v>
      </c>
      <c r="E354">
        <f>+Pedido!B357</f>
        <v>0</v>
      </c>
    </row>
    <row r="355" spans="1:5" x14ac:dyDescent="0.25">
      <c r="A355">
        <f>+Pedido!A358</f>
        <v>0</v>
      </c>
      <c r="C355">
        <v>1</v>
      </c>
      <c r="D355" t="s">
        <v>776</v>
      </c>
      <c r="E355">
        <f>+Pedido!B358</f>
        <v>0</v>
      </c>
    </row>
    <row r="356" spans="1:5" x14ac:dyDescent="0.25">
      <c r="A356">
        <f>+Pedido!A359</f>
        <v>0</v>
      </c>
      <c r="C356">
        <v>1</v>
      </c>
      <c r="D356" t="s">
        <v>776</v>
      </c>
      <c r="E356">
        <f>+Pedido!B359</f>
        <v>0</v>
      </c>
    </row>
    <row r="357" spans="1:5" x14ac:dyDescent="0.25">
      <c r="A357">
        <f>+Pedido!A360</f>
        <v>0</v>
      </c>
      <c r="C357">
        <v>1</v>
      </c>
      <c r="D357" t="s">
        <v>776</v>
      </c>
      <c r="E357">
        <f>+Pedido!B360</f>
        <v>0</v>
      </c>
    </row>
    <row r="358" spans="1:5" x14ac:dyDescent="0.25">
      <c r="A358">
        <f>+Pedido!A361</f>
        <v>0</v>
      </c>
      <c r="C358">
        <v>1</v>
      </c>
      <c r="D358" t="s">
        <v>776</v>
      </c>
      <c r="E358">
        <f>+Pedido!B361</f>
        <v>0</v>
      </c>
    </row>
    <row r="359" spans="1:5" x14ac:dyDescent="0.25">
      <c r="A359">
        <f>+Pedido!A362</f>
        <v>0</v>
      </c>
      <c r="C359">
        <v>1</v>
      </c>
      <c r="D359" t="s">
        <v>776</v>
      </c>
      <c r="E359">
        <f>+Pedido!B362</f>
        <v>0</v>
      </c>
    </row>
    <row r="360" spans="1:5" x14ac:dyDescent="0.25">
      <c r="A360">
        <f>+Pedido!A363</f>
        <v>0</v>
      </c>
      <c r="C360">
        <v>1</v>
      </c>
      <c r="D360" t="s">
        <v>776</v>
      </c>
      <c r="E360">
        <f>+Pedido!B363</f>
        <v>0</v>
      </c>
    </row>
    <row r="361" spans="1:5" x14ac:dyDescent="0.25">
      <c r="A361">
        <f>+Pedido!A364</f>
        <v>0</v>
      </c>
      <c r="C361">
        <v>1</v>
      </c>
      <c r="D361" t="s">
        <v>776</v>
      </c>
      <c r="E361">
        <f>+Pedido!B364</f>
        <v>0</v>
      </c>
    </row>
    <row r="362" spans="1:5" x14ac:dyDescent="0.25">
      <c r="A362">
        <f>+Pedido!A365</f>
        <v>0</v>
      </c>
      <c r="C362">
        <v>1</v>
      </c>
      <c r="D362" t="s">
        <v>776</v>
      </c>
      <c r="E362">
        <f>+Pedido!B365</f>
        <v>0</v>
      </c>
    </row>
    <row r="363" spans="1:5" x14ac:dyDescent="0.25">
      <c r="A363">
        <f>+Pedido!A366</f>
        <v>0</v>
      </c>
      <c r="C363">
        <v>1</v>
      </c>
      <c r="D363" t="s">
        <v>776</v>
      </c>
      <c r="E363">
        <f>+Pedido!B366</f>
        <v>0</v>
      </c>
    </row>
    <row r="364" spans="1:5" x14ac:dyDescent="0.25">
      <c r="A364">
        <f>+Pedido!A367</f>
        <v>0</v>
      </c>
      <c r="C364">
        <v>1</v>
      </c>
      <c r="D364" t="s">
        <v>776</v>
      </c>
      <c r="E364">
        <f>+Pedido!B367</f>
        <v>0</v>
      </c>
    </row>
    <row r="365" spans="1:5" x14ac:dyDescent="0.25">
      <c r="A365">
        <f>+Pedido!A368</f>
        <v>0</v>
      </c>
      <c r="C365">
        <v>1</v>
      </c>
      <c r="D365" t="s">
        <v>776</v>
      </c>
      <c r="E365">
        <f>+Pedido!B368</f>
        <v>0</v>
      </c>
    </row>
    <row r="366" spans="1:5" x14ac:dyDescent="0.25">
      <c r="A366">
        <f>+Pedido!A369</f>
        <v>0</v>
      </c>
      <c r="C366">
        <v>1</v>
      </c>
      <c r="D366" t="s">
        <v>776</v>
      </c>
      <c r="E366">
        <f>+Pedido!B369</f>
        <v>0</v>
      </c>
    </row>
    <row r="367" spans="1:5" x14ac:dyDescent="0.25">
      <c r="A367">
        <f>+Pedido!A370</f>
        <v>0</v>
      </c>
      <c r="C367">
        <v>1</v>
      </c>
      <c r="D367" t="s">
        <v>776</v>
      </c>
      <c r="E367">
        <f>+Pedido!B370</f>
        <v>0</v>
      </c>
    </row>
    <row r="368" spans="1:5" x14ac:dyDescent="0.25">
      <c r="A368">
        <f>+Pedido!A371</f>
        <v>0</v>
      </c>
      <c r="C368">
        <v>1</v>
      </c>
      <c r="D368" t="s">
        <v>776</v>
      </c>
      <c r="E368">
        <f>+Pedido!B371</f>
        <v>0</v>
      </c>
    </row>
    <row r="369" spans="1:5" x14ac:dyDescent="0.25">
      <c r="A369">
        <f>+Pedido!A372</f>
        <v>0</v>
      </c>
      <c r="C369">
        <v>1</v>
      </c>
      <c r="D369" t="s">
        <v>776</v>
      </c>
      <c r="E369">
        <f>+Pedido!B372</f>
        <v>0</v>
      </c>
    </row>
    <row r="370" spans="1:5" x14ac:dyDescent="0.25">
      <c r="A370">
        <f>+Pedido!A373</f>
        <v>0</v>
      </c>
      <c r="C370">
        <v>1</v>
      </c>
      <c r="D370" t="s">
        <v>776</v>
      </c>
      <c r="E370">
        <f>+Pedido!B373</f>
        <v>0</v>
      </c>
    </row>
    <row r="371" spans="1:5" x14ac:dyDescent="0.25">
      <c r="A371">
        <f>+Pedido!A374</f>
        <v>0</v>
      </c>
      <c r="C371">
        <v>1</v>
      </c>
      <c r="D371" t="s">
        <v>776</v>
      </c>
      <c r="E371">
        <f>+Pedido!B374</f>
        <v>0</v>
      </c>
    </row>
    <row r="372" spans="1:5" x14ac:dyDescent="0.25">
      <c r="A372">
        <f>+Pedido!A375</f>
        <v>0</v>
      </c>
      <c r="C372">
        <v>1</v>
      </c>
      <c r="D372" t="s">
        <v>776</v>
      </c>
      <c r="E372">
        <f>+Pedido!B375</f>
        <v>0</v>
      </c>
    </row>
    <row r="373" spans="1:5" x14ac:dyDescent="0.25">
      <c r="A373">
        <f>+Pedido!A376</f>
        <v>0</v>
      </c>
      <c r="C373">
        <v>1</v>
      </c>
      <c r="D373" t="s">
        <v>776</v>
      </c>
      <c r="E373">
        <f>+Pedido!B376</f>
        <v>0</v>
      </c>
    </row>
    <row r="374" spans="1:5" x14ac:dyDescent="0.25">
      <c r="A374">
        <f>+Pedido!A377</f>
        <v>0</v>
      </c>
      <c r="C374">
        <v>1</v>
      </c>
      <c r="D374" t="s">
        <v>776</v>
      </c>
      <c r="E374">
        <f>+Pedido!B377</f>
        <v>0</v>
      </c>
    </row>
    <row r="375" spans="1:5" x14ac:dyDescent="0.25">
      <c r="A375">
        <f>+Pedido!A378</f>
        <v>0</v>
      </c>
      <c r="C375">
        <v>1</v>
      </c>
      <c r="D375" t="s">
        <v>776</v>
      </c>
      <c r="E375">
        <f>+Pedido!B378</f>
        <v>0</v>
      </c>
    </row>
    <row r="376" spans="1:5" x14ac:dyDescent="0.25">
      <c r="A376">
        <f>+Pedido!A379</f>
        <v>0</v>
      </c>
      <c r="C376">
        <v>1</v>
      </c>
      <c r="D376" t="s">
        <v>776</v>
      </c>
      <c r="E376">
        <f>+Pedido!B379</f>
        <v>0</v>
      </c>
    </row>
    <row r="377" spans="1:5" x14ac:dyDescent="0.25">
      <c r="A377">
        <f>+Pedido!A380</f>
        <v>0</v>
      </c>
      <c r="C377">
        <v>1</v>
      </c>
      <c r="D377" t="s">
        <v>776</v>
      </c>
      <c r="E377">
        <f>+Pedido!B380</f>
        <v>0</v>
      </c>
    </row>
    <row r="378" spans="1:5" x14ac:dyDescent="0.25">
      <c r="A378">
        <f>+Pedido!A381</f>
        <v>0</v>
      </c>
      <c r="C378">
        <v>1</v>
      </c>
      <c r="D378" t="s">
        <v>776</v>
      </c>
      <c r="E378">
        <f>+Pedido!B381</f>
        <v>0</v>
      </c>
    </row>
    <row r="379" spans="1:5" x14ac:dyDescent="0.25">
      <c r="A379">
        <f>+Pedido!A382</f>
        <v>0</v>
      </c>
      <c r="C379">
        <v>1</v>
      </c>
      <c r="D379" t="s">
        <v>776</v>
      </c>
      <c r="E379">
        <f>+Pedido!B382</f>
        <v>0</v>
      </c>
    </row>
    <row r="380" spans="1:5" x14ac:dyDescent="0.25">
      <c r="A380">
        <f>+Pedido!A383</f>
        <v>0</v>
      </c>
      <c r="C380">
        <v>1</v>
      </c>
      <c r="D380" t="s">
        <v>776</v>
      </c>
      <c r="E380">
        <f>+Pedido!B383</f>
        <v>0</v>
      </c>
    </row>
    <row r="381" spans="1:5" x14ac:dyDescent="0.25">
      <c r="A381">
        <f>+Pedido!A384</f>
        <v>0</v>
      </c>
      <c r="C381">
        <v>1</v>
      </c>
      <c r="D381" t="s">
        <v>776</v>
      </c>
      <c r="E381">
        <f>+Pedido!B384</f>
        <v>0</v>
      </c>
    </row>
    <row r="382" spans="1:5" x14ac:dyDescent="0.25">
      <c r="A382">
        <f>+Pedido!A385</f>
        <v>0</v>
      </c>
      <c r="C382">
        <v>1</v>
      </c>
      <c r="D382" t="s">
        <v>776</v>
      </c>
      <c r="E382">
        <f>+Pedido!B385</f>
        <v>0</v>
      </c>
    </row>
    <row r="383" spans="1:5" x14ac:dyDescent="0.25">
      <c r="A383">
        <f>+Pedido!A386</f>
        <v>0</v>
      </c>
      <c r="C383">
        <v>1</v>
      </c>
      <c r="D383" t="s">
        <v>776</v>
      </c>
      <c r="E383">
        <f>+Pedido!B386</f>
        <v>0</v>
      </c>
    </row>
    <row r="384" spans="1:5" x14ac:dyDescent="0.25">
      <c r="A384">
        <f>+Pedido!A387</f>
        <v>0</v>
      </c>
      <c r="C384">
        <v>1</v>
      </c>
      <c r="D384" t="s">
        <v>776</v>
      </c>
      <c r="E384">
        <f>+Pedido!B387</f>
        <v>0</v>
      </c>
    </row>
    <row r="385" spans="1:5" x14ac:dyDescent="0.25">
      <c r="A385">
        <f>+Pedido!A388</f>
        <v>0</v>
      </c>
      <c r="C385">
        <v>1</v>
      </c>
      <c r="D385" t="s">
        <v>776</v>
      </c>
      <c r="E385">
        <f>+Pedido!B388</f>
        <v>0</v>
      </c>
    </row>
    <row r="386" spans="1:5" x14ac:dyDescent="0.25">
      <c r="A386">
        <f>+Pedido!A389</f>
        <v>0</v>
      </c>
      <c r="C386">
        <v>1</v>
      </c>
      <c r="D386" t="s">
        <v>776</v>
      </c>
      <c r="E386">
        <f>+Pedido!B389</f>
        <v>0</v>
      </c>
    </row>
    <row r="387" spans="1:5" x14ac:dyDescent="0.25">
      <c r="A387">
        <f>+Pedido!A390</f>
        <v>0</v>
      </c>
      <c r="C387">
        <v>1</v>
      </c>
      <c r="D387" t="s">
        <v>776</v>
      </c>
      <c r="E387">
        <f>+Pedido!B390</f>
        <v>0</v>
      </c>
    </row>
    <row r="388" spans="1:5" x14ac:dyDescent="0.25">
      <c r="A388">
        <f>+Pedido!A391</f>
        <v>0</v>
      </c>
      <c r="C388">
        <v>1</v>
      </c>
      <c r="D388" t="s">
        <v>776</v>
      </c>
      <c r="E388">
        <f>+Pedido!B391</f>
        <v>0</v>
      </c>
    </row>
    <row r="389" spans="1:5" x14ac:dyDescent="0.25">
      <c r="A389">
        <f>+Pedido!A392</f>
        <v>0</v>
      </c>
      <c r="C389">
        <v>1</v>
      </c>
      <c r="D389" t="s">
        <v>776</v>
      </c>
      <c r="E389">
        <f>+Pedido!B392</f>
        <v>0</v>
      </c>
    </row>
    <row r="390" spans="1:5" x14ac:dyDescent="0.25">
      <c r="A390">
        <f>+Pedido!A393</f>
        <v>0</v>
      </c>
      <c r="C390">
        <v>1</v>
      </c>
      <c r="D390" t="s">
        <v>776</v>
      </c>
      <c r="E390">
        <f>+Pedido!B393</f>
        <v>0</v>
      </c>
    </row>
    <row r="391" spans="1:5" x14ac:dyDescent="0.25">
      <c r="A391">
        <f>+Pedido!A394</f>
        <v>0</v>
      </c>
      <c r="C391">
        <v>1</v>
      </c>
      <c r="D391" t="s">
        <v>776</v>
      </c>
      <c r="E391">
        <f>+Pedido!B394</f>
        <v>0</v>
      </c>
    </row>
    <row r="392" spans="1:5" x14ac:dyDescent="0.25">
      <c r="A392">
        <f>+Pedido!A395</f>
        <v>0</v>
      </c>
      <c r="C392">
        <v>1</v>
      </c>
      <c r="D392" t="s">
        <v>776</v>
      </c>
      <c r="E392">
        <f>+Pedido!B395</f>
        <v>0</v>
      </c>
    </row>
    <row r="393" spans="1:5" x14ac:dyDescent="0.25">
      <c r="A393">
        <f>+Pedido!A396</f>
        <v>0</v>
      </c>
      <c r="C393">
        <v>1</v>
      </c>
      <c r="D393" t="s">
        <v>776</v>
      </c>
      <c r="E393">
        <f>+Pedido!B396</f>
        <v>0</v>
      </c>
    </row>
    <row r="394" spans="1:5" x14ac:dyDescent="0.25">
      <c r="A394">
        <f>+Pedido!A397</f>
        <v>0</v>
      </c>
      <c r="C394">
        <v>1</v>
      </c>
      <c r="D394" t="s">
        <v>776</v>
      </c>
      <c r="E394">
        <f>+Pedido!B397</f>
        <v>0</v>
      </c>
    </row>
    <row r="395" spans="1:5" x14ac:dyDescent="0.25">
      <c r="A395">
        <f>+Pedido!A398</f>
        <v>0</v>
      </c>
      <c r="C395">
        <v>1</v>
      </c>
      <c r="D395" t="s">
        <v>776</v>
      </c>
      <c r="E395">
        <f>+Pedido!B398</f>
        <v>0</v>
      </c>
    </row>
    <row r="396" spans="1:5" x14ac:dyDescent="0.25">
      <c r="A396">
        <f>+Pedido!A399</f>
        <v>0</v>
      </c>
      <c r="C396">
        <v>1</v>
      </c>
      <c r="D396" t="s">
        <v>776</v>
      </c>
      <c r="E396">
        <f>+Pedido!B399</f>
        <v>0</v>
      </c>
    </row>
    <row r="397" spans="1:5" x14ac:dyDescent="0.25">
      <c r="A397">
        <f>+Pedido!A400</f>
        <v>0</v>
      </c>
      <c r="C397">
        <v>1</v>
      </c>
      <c r="D397" t="s">
        <v>776</v>
      </c>
      <c r="E397">
        <f>+Pedido!B400</f>
        <v>0</v>
      </c>
    </row>
    <row r="398" spans="1:5" x14ac:dyDescent="0.25">
      <c r="A398">
        <f>+Pedido!A401</f>
        <v>0</v>
      </c>
      <c r="C398">
        <v>1</v>
      </c>
      <c r="D398" t="s">
        <v>776</v>
      </c>
      <c r="E398">
        <f>+Pedido!B401</f>
        <v>0</v>
      </c>
    </row>
    <row r="399" spans="1:5" x14ac:dyDescent="0.25">
      <c r="A399">
        <f>+Pedido!A402</f>
        <v>0</v>
      </c>
      <c r="C399">
        <v>1</v>
      </c>
      <c r="D399" t="s">
        <v>776</v>
      </c>
      <c r="E399">
        <f>+Pedido!B402</f>
        <v>0</v>
      </c>
    </row>
    <row r="400" spans="1:5" x14ac:dyDescent="0.25">
      <c r="A400">
        <f>+Pedido!A403</f>
        <v>0</v>
      </c>
      <c r="C400">
        <v>1</v>
      </c>
      <c r="D400" t="s">
        <v>776</v>
      </c>
      <c r="E400">
        <f>+Pedido!B403</f>
        <v>0</v>
      </c>
    </row>
    <row r="401" spans="1:5" x14ac:dyDescent="0.25">
      <c r="A401">
        <f>+Pedido!A404</f>
        <v>0</v>
      </c>
      <c r="C401">
        <v>1</v>
      </c>
      <c r="D401" t="s">
        <v>776</v>
      </c>
      <c r="E401">
        <f>+Pedido!B404</f>
        <v>0</v>
      </c>
    </row>
    <row r="402" spans="1:5" x14ac:dyDescent="0.25">
      <c r="A402">
        <f>+Pedido!A405</f>
        <v>0</v>
      </c>
      <c r="C402">
        <v>1</v>
      </c>
      <c r="D402" t="s">
        <v>776</v>
      </c>
      <c r="E402">
        <f>+Pedido!B405</f>
        <v>0</v>
      </c>
    </row>
    <row r="403" spans="1:5" x14ac:dyDescent="0.25">
      <c r="A403">
        <f>+Pedido!A406</f>
        <v>0</v>
      </c>
      <c r="C403">
        <v>1</v>
      </c>
      <c r="D403" t="s">
        <v>776</v>
      </c>
      <c r="E403">
        <f>+Pedido!B406</f>
        <v>0</v>
      </c>
    </row>
    <row r="404" spans="1:5" x14ac:dyDescent="0.25">
      <c r="A404">
        <f>+Pedido!A407</f>
        <v>0</v>
      </c>
      <c r="C404">
        <v>1</v>
      </c>
      <c r="D404" t="s">
        <v>776</v>
      </c>
      <c r="E404">
        <f>+Pedido!B407</f>
        <v>0</v>
      </c>
    </row>
    <row r="405" spans="1:5" x14ac:dyDescent="0.25">
      <c r="A405">
        <f>+Pedido!A408</f>
        <v>0</v>
      </c>
      <c r="C405">
        <v>1</v>
      </c>
      <c r="D405" t="s">
        <v>776</v>
      </c>
      <c r="E405">
        <f>+Pedido!B408</f>
        <v>0</v>
      </c>
    </row>
    <row r="406" spans="1:5" x14ac:dyDescent="0.25">
      <c r="A406">
        <f>+Pedido!A409</f>
        <v>0</v>
      </c>
      <c r="C406">
        <v>1</v>
      </c>
      <c r="D406" t="s">
        <v>776</v>
      </c>
      <c r="E406">
        <f>+Pedido!B409</f>
        <v>0</v>
      </c>
    </row>
    <row r="407" spans="1:5" x14ac:dyDescent="0.25">
      <c r="A407">
        <f>+Pedido!A410</f>
        <v>0</v>
      </c>
      <c r="C407">
        <v>1</v>
      </c>
      <c r="D407" t="s">
        <v>776</v>
      </c>
      <c r="E407">
        <f>+Pedido!B410</f>
        <v>0</v>
      </c>
    </row>
    <row r="408" spans="1:5" x14ac:dyDescent="0.25">
      <c r="A408">
        <f>+Pedido!A411</f>
        <v>0</v>
      </c>
      <c r="C408">
        <v>1</v>
      </c>
      <c r="D408" t="s">
        <v>776</v>
      </c>
      <c r="E408">
        <f>+Pedido!B411</f>
        <v>0</v>
      </c>
    </row>
    <row r="409" spans="1:5" x14ac:dyDescent="0.25">
      <c r="A409">
        <f>+Pedido!A412</f>
        <v>0</v>
      </c>
      <c r="C409">
        <v>1</v>
      </c>
      <c r="D409" t="s">
        <v>776</v>
      </c>
      <c r="E409">
        <f>+Pedido!B412</f>
        <v>0</v>
      </c>
    </row>
    <row r="410" spans="1:5" x14ac:dyDescent="0.25">
      <c r="A410">
        <f>+Pedido!A413</f>
        <v>0</v>
      </c>
      <c r="C410">
        <v>1</v>
      </c>
      <c r="D410" t="s">
        <v>776</v>
      </c>
      <c r="E410">
        <f>+Pedido!B413</f>
        <v>0</v>
      </c>
    </row>
    <row r="411" spans="1:5" x14ac:dyDescent="0.25">
      <c r="A411">
        <f>+Pedido!A414</f>
        <v>0</v>
      </c>
      <c r="C411">
        <v>1</v>
      </c>
      <c r="D411" t="s">
        <v>776</v>
      </c>
      <c r="E411">
        <f>+Pedido!B414</f>
        <v>0</v>
      </c>
    </row>
    <row r="412" spans="1:5" x14ac:dyDescent="0.25">
      <c r="A412">
        <f>+Pedido!A415</f>
        <v>0</v>
      </c>
      <c r="C412">
        <v>1</v>
      </c>
      <c r="D412" t="s">
        <v>776</v>
      </c>
      <c r="E412">
        <f>+Pedido!B415</f>
        <v>0</v>
      </c>
    </row>
    <row r="413" spans="1:5" x14ac:dyDescent="0.25">
      <c r="A413">
        <f>+Pedido!A416</f>
        <v>0</v>
      </c>
      <c r="C413">
        <v>1</v>
      </c>
      <c r="D413" t="s">
        <v>776</v>
      </c>
      <c r="E413">
        <f>+Pedido!B416</f>
        <v>0</v>
      </c>
    </row>
    <row r="414" spans="1:5" x14ac:dyDescent="0.25">
      <c r="A414">
        <f>+Pedido!A417</f>
        <v>0</v>
      </c>
      <c r="C414">
        <v>1</v>
      </c>
      <c r="D414" t="s">
        <v>776</v>
      </c>
      <c r="E414">
        <f>+Pedido!B417</f>
        <v>0</v>
      </c>
    </row>
    <row r="415" spans="1:5" x14ac:dyDescent="0.25">
      <c r="A415">
        <f>+Pedido!A418</f>
        <v>0</v>
      </c>
      <c r="C415">
        <v>1</v>
      </c>
      <c r="D415" t="s">
        <v>776</v>
      </c>
      <c r="E415">
        <f>+Pedido!B418</f>
        <v>0</v>
      </c>
    </row>
    <row r="416" spans="1:5" x14ac:dyDescent="0.25">
      <c r="A416">
        <f>+Pedido!A419</f>
        <v>0</v>
      </c>
      <c r="C416">
        <v>1</v>
      </c>
      <c r="D416" t="s">
        <v>776</v>
      </c>
      <c r="E416">
        <f>+Pedido!B419</f>
        <v>0</v>
      </c>
    </row>
    <row r="417" spans="1:5" x14ac:dyDescent="0.25">
      <c r="A417">
        <f>+Pedido!A420</f>
        <v>0</v>
      </c>
      <c r="C417">
        <v>1</v>
      </c>
      <c r="D417" t="s">
        <v>776</v>
      </c>
      <c r="E417">
        <f>+Pedido!B420</f>
        <v>0</v>
      </c>
    </row>
    <row r="418" spans="1:5" x14ac:dyDescent="0.25">
      <c r="A418">
        <f>+Pedido!A421</f>
        <v>0</v>
      </c>
      <c r="C418">
        <v>1</v>
      </c>
      <c r="D418" t="s">
        <v>776</v>
      </c>
      <c r="E418">
        <f>+Pedido!B421</f>
        <v>0</v>
      </c>
    </row>
    <row r="419" spans="1:5" x14ac:dyDescent="0.25">
      <c r="A419">
        <f>+Pedido!A422</f>
        <v>0</v>
      </c>
      <c r="C419">
        <v>1</v>
      </c>
      <c r="D419" t="s">
        <v>776</v>
      </c>
      <c r="E419">
        <f>+Pedido!B422</f>
        <v>0</v>
      </c>
    </row>
    <row r="420" spans="1:5" x14ac:dyDescent="0.25">
      <c r="A420">
        <f>+Pedido!A423</f>
        <v>0</v>
      </c>
      <c r="C420">
        <v>1</v>
      </c>
      <c r="D420" t="s">
        <v>776</v>
      </c>
      <c r="E420">
        <f>+Pedido!B423</f>
        <v>0</v>
      </c>
    </row>
    <row r="421" spans="1:5" x14ac:dyDescent="0.25">
      <c r="A421">
        <f>+Pedido!A424</f>
        <v>0</v>
      </c>
      <c r="C421">
        <v>1</v>
      </c>
      <c r="D421" t="s">
        <v>776</v>
      </c>
      <c r="E421">
        <f>+Pedido!B424</f>
        <v>0</v>
      </c>
    </row>
    <row r="422" spans="1:5" x14ac:dyDescent="0.25">
      <c r="A422">
        <f>+Pedido!A425</f>
        <v>0</v>
      </c>
      <c r="C422">
        <v>1</v>
      </c>
      <c r="D422" t="s">
        <v>776</v>
      </c>
      <c r="E422">
        <f>+Pedido!B425</f>
        <v>0</v>
      </c>
    </row>
    <row r="423" spans="1:5" x14ac:dyDescent="0.25">
      <c r="A423">
        <f>+Pedido!A426</f>
        <v>0</v>
      </c>
      <c r="C423">
        <v>1</v>
      </c>
      <c r="D423" t="s">
        <v>776</v>
      </c>
      <c r="E423">
        <f>+Pedido!B426</f>
        <v>0</v>
      </c>
    </row>
    <row r="424" spans="1:5" x14ac:dyDescent="0.25">
      <c r="A424">
        <f>+Pedido!A427</f>
        <v>0</v>
      </c>
      <c r="C424">
        <v>1</v>
      </c>
      <c r="D424" t="s">
        <v>776</v>
      </c>
      <c r="E424">
        <f>+Pedido!B427</f>
        <v>0</v>
      </c>
    </row>
    <row r="425" spans="1:5" x14ac:dyDescent="0.25">
      <c r="A425">
        <f>+Pedido!A428</f>
        <v>0</v>
      </c>
      <c r="C425">
        <v>1</v>
      </c>
      <c r="D425" t="s">
        <v>776</v>
      </c>
      <c r="E425">
        <f>+Pedido!B428</f>
        <v>0</v>
      </c>
    </row>
    <row r="426" spans="1:5" x14ac:dyDescent="0.25">
      <c r="A426">
        <f>+Pedido!A429</f>
        <v>0</v>
      </c>
      <c r="C426">
        <v>1</v>
      </c>
      <c r="D426" t="s">
        <v>776</v>
      </c>
      <c r="E426">
        <f>+Pedido!B429</f>
        <v>0</v>
      </c>
    </row>
    <row r="427" spans="1:5" x14ac:dyDescent="0.25">
      <c r="A427">
        <f>+Pedido!A430</f>
        <v>0</v>
      </c>
      <c r="C427">
        <v>1</v>
      </c>
      <c r="D427" t="s">
        <v>776</v>
      </c>
      <c r="E427">
        <f>+Pedido!B430</f>
        <v>0</v>
      </c>
    </row>
    <row r="428" spans="1:5" x14ac:dyDescent="0.25">
      <c r="A428">
        <f>+Pedido!A431</f>
        <v>0</v>
      </c>
      <c r="C428">
        <v>1</v>
      </c>
      <c r="D428" t="s">
        <v>776</v>
      </c>
      <c r="E428">
        <f>+Pedido!B431</f>
        <v>0</v>
      </c>
    </row>
    <row r="429" spans="1:5" x14ac:dyDescent="0.25">
      <c r="A429">
        <f>+Pedido!A432</f>
        <v>0</v>
      </c>
      <c r="C429">
        <v>1</v>
      </c>
      <c r="D429" t="s">
        <v>776</v>
      </c>
      <c r="E429">
        <f>+Pedido!B432</f>
        <v>0</v>
      </c>
    </row>
    <row r="430" spans="1:5" x14ac:dyDescent="0.25">
      <c r="A430">
        <f>+Pedido!A433</f>
        <v>0</v>
      </c>
      <c r="C430">
        <v>1</v>
      </c>
      <c r="D430" t="s">
        <v>776</v>
      </c>
      <c r="E430">
        <f>+Pedido!B433</f>
        <v>0</v>
      </c>
    </row>
    <row r="431" spans="1:5" x14ac:dyDescent="0.25">
      <c r="A431">
        <f>+Pedido!A434</f>
        <v>0</v>
      </c>
      <c r="C431">
        <v>1</v>
      </c>
      <c r="D431" t="s">
        <v>776</v>
      </c>
      <c r="E431">
        <f>+Pedido!B434</f>
        <v>0</v>
      </c>
    </row>
    <row r="432" spans="1:5" x14ac:dyDescent="0.25">
      <c r="A432">
        <f>+Pedido!A435</f>
        <v>0</v>
      </c>
      <c r="C432">
        <v>1</v>
      </c>
      <c r="D432" t="s">
        <v>776</v>
      </c>
      <c r="E432">
        <f>+Pedido!B435</f>
        <v>0</v>
      </c>
    </row>
    <row r="433" spans="1:5" x14ac:dyDescent="0.25">
      <c r="A433">
        <f>+Pedido!A436</f>
        <v>0</v>
      </c>
      <c r="C433">
        <v>1</v>
      </c>
      <c r="D433" t="s">
        <v>776</v>
      </c>
      <c r="E433">
        <f>+Pedido!B436</f>
        <v>0</v>
      </c>
    </row>
    <row r="434" spans="1:5" x14ac:dyDescent="0.25">
      <c r="A434">
        <f>+Pedido!A437</f>
        <v>0</v>
      </c>
      <c r="C434">
        <v>1</v>
      </c>
      <c r="D434" t="s">
        <v>776</v>
      </c>
      <c r="E434">
        <f>+Pedido!B437</f>
        <v>0</v>
      </c>
    </row>
    <row r="435" spans="1:5" x14ac:dyDescent="0.25">
      <c r="A435">
        <f>+Pedido!A438</f>
        <v>0</v>
      </c>
      <c r="C435">
        <v>1</v>
      </c>
      <c r="D435" t="s">
        <v>776</v>
      </c>
      <c r="E435">
        <f>+Pedido!B438</f>
        <v>0</v>
      </c>
    </row>
    <row r="436" spans="1:5" x14ac:dyDescent="0.25">
      <c r="A436">
        <f>+Pedido!A439</f>
        <v>0</v>
      </c>
      <c r="C436">
        <v>1</v>
      </c>
      <c r="D436" t="s">
        <v>776</v>
      </c>
      <c r="E436">
        <f>+Pedido!B439</f>
        <v>0</v>
      </c>
    </row>
    <row r="437" spans="1:5" x14ac:dyDescent="0.25">
      <c r="A437">
        <f>+Pedido!A440</f>
        <v>0</v>
      </c>
      <c r="C437">
        <v>1</v>
      </c>
      <c r="D437" t="s">
        <v>776</v>
      </c>
      <c r="E437">
        <f>+Pedido!B440</f>
        <v>0</v>
      </c>
    </row>
    <row r="438" spans="1:5" x14ac:dyDescent="0.25">
      <c r="A438">
        <f>+Pedido!A441</f>
        <v>0</v>
      </c>
      <c r="C438">
        <v>1</v>
      </c>
      <c r="D438" t="s">
        <v>776</v>
      </c>
      <c r="E438">
        <f>+Pedido!B441</f>
        <v>0</v>
      </c>
    </row>
    <row r="439" spans="1:5" x14ac:dyDescent="0.25">
      <c r="A439">
        <f>+Pedido!A442</f>
        <v>0</v>
      </c>
      <c r="C439">
        <v>1</v>
      </c>
      <c r="D439" t="s">
        <v>776</v>
      </c>
      <c r="E439">
        <f>+Pedido!B442</f>
        <v>0</v>
      </c>
    </row>
    <row r="440" spans="1:5" x14ac:dyDescent="0.25">
      <c r="A440">
        <f>+Pedido!A443</f>
        <v>0</v>
      </c>
      <c r="C440">
        <v>1</v>
      </c>
      <c r="D440" t="s">
        <v>776</v>
      </c>
      <c r="E440">
        <f>+Pedido!B443</f>
        <v>0</v>
      </c>
    </row>
    <row r="441" spans="1:5" x14ac:dyDescent="0.25">
      <c r="A441">
        <f>+Pedido!A444</f>
        <v>0</v>
      </c>
      <c r="C441">
        <v>1</v>
      </c>
      <c r="D441" t="s">
        <v>776</v>
      </c>
      <c r="E441">
        <f>+Pedido!B444</f>
        <v>0</v>
      </c>
    </row>
    <row r="442" spans="1:5" x14ac:dyDescent="0.25">
      <c r="A442">
        <f>+Pedido!A445</f>
        <v>0</v>
      </c>
      <c r="C442">
        <v>1</v>
      </c>
      <c r="D442" t="s">
        <v>776</v>
      </c>
      <c r="E442">
        <f>+Pedido!B445</f>
        <v>0</v>
      </c>
    </row>
    <row r="443" spans="1:5" x14ac:dyDescent="0.25">
      <c r="A443">
        <f>+Pedido!A446</f>
        <v>0</v>
      </c>
      <c r="C443">
        <v>1</v>
      </c>
      <c r="D443" t="s">
        <v>776</v>
      </c>
      <c r="E443">
        <f>+Pedido!B446</f>
        <v>0</v>
      </c>
    </row>
    <row r="444" spans="1:5" x14ac:dyDescent="0.25">
      <c r="A444">
        <f>+Pedido!A447</f>
        <v>0</v>
      </c>
      <c r="C444">
        <v>1</v>
      </c>
      <c r="D444" t="s">
        <v>776</v>
      </c>
      <c r="E444">
        <f>+Pedido!B447</f>
        <v>0</v>
      </c>
    </row>
    <row r="445" spans="1:5" x14ac:dyDescent="0.25">
      <c r="A445">
        <f>+Pedido!A448</f>
        <v>0</v>
      </c>
      <c r="C445">
        <v>1</v>
      </c>
      <c r="D445" t="s">
        <v>776</v>
      </c>
      <c r="E445">
        <f>+Pedido!B448</f>
        <v>0</v>
      </c>
    </row>
    <row r="446" spans="1:5" x14ac:dyDescent="0.25">
      <c r="A446">
        <f>+Pedido!A449</f>
        <v>0</v>
      </c>
      <c r="C446">
        <v>1</v>
      </c>
      <c r="D446" t="s">
        <v>776</v>
      </c>
      <c r="E446">
        <f>+Pedido!B449</f>
        <v>0</v>
      </c>
    </row>
    <row r="447" spans="1:5" x14ac:dyDescent="0.25">
      <c r="A447">
        <f>+Pedido!A450</f>
        <v>0</v>
      </c>
      <c r="C447">
        <v>1</v>
      </c>
      <c r="D447" t="s">
        <v>776</v>
      </c>
      <c r="E447">
        <f>+Pedido!B450</f>
        <v>0</v>
      </c>
    </row>
    <row r="448" spans="1:5" x14ac:dyDescent="0.25">
      <c r="A448">
        <f>+Pedido!A451</f>
        <v>0</v>
      </c>
      <c r="C448">
        <v>1</v>
      </c>
      <c r="D448" t="s">
        <v>776</v>
      </c>
      <c r="E448">
        <f>+Pedido!B451</f>
        <v>0</v>
      </c>
    </row>
    <row r="449" spans="1:5" x14ac:dyDescent="0.25">
      <c r="A449">
        <f>+Pedido!A452</f>
        <v>0</v>
      </c>
      <c r="C449">
        <v>1</v>
      </c>
      <c r="D449" t="s">
        <v>776</v>
      </c>
      <c r="E449">
        <f>+Pedido!B452</f>
        <v>0</v>
      </c>
    </row>
    <row r="450" spans="1:5" x14ac:dyDescent="0.25">
      <c r="A450">
        <f>+Pedido!A453</f>
        <v>0</v>
      </c>
      <c r="C450">
        <v>1</v>
      </c>
      <c r="D450" t="s">
        <v>776</v>
      </c>
      <c r="E450">
        <f>+Pedido!B453</f>
        <v>0</v>
      </c>
    </row>
    <row r="451" spans="1:5" x14ac:dyDescent="0.25">
      <c r="A451">
        <f>+Pedido!A454</f>
        <v>0</v>
      </c>
      <c r="C451">
        <v>1</v>
      </c>
      <c r="D451" t="s">
        <v>776</v>
      </c>
      <c r="E451">
        <f>+Pedido!B454</f>
        <v>0</v>
      </c>
    </row>
    <row r="452" spans="1:5" x14ac:dyDescent="0.25">
      <c r="A452">
        <f>+Pedido!A455</f>
        <v>0</v>
      </c>
      <c r="C452">
        <v>1</v>
      </c>
      <c r="D452" t="s">
        <v>776</v>
      </c>
      <c r="E452">
        <f>+Pedido!B455</f>
        <v>0</v>
      </c>
    </row>
    <row r="453" spans="1:5" x14ac:dyDescent="0.25">
      <c r="A453">
        <f>+Pedido!A456</f>
        <v>0</v>
      </c>
      <c r="C453">
        <v>1</v>
      </c>
      <c r="D453" t="s">
        <v>776</v>
      </c>
      <c r="E453">
        <f>+Pedido!B456</f>
        <v>0</v>
      </c>
    </row>
    <row r="454" spans="1:5" x14ac:dyDescent="0.25">
      <c r="A454">
        <f>+Pedido!A457</f>
        <v>0</v>
      </c>
      <c r="C454">
        <v>1</v>
      </c>
      <c r="D454" t="s">
        <v>776</v>
      </c>
      <c r="E454">
        <f>+Pedido!B457</f>
        <v>0</v>
      </c>
    </row>
    <row r="455" spans="1:5" x14ac:dyDescent="0.25">
      <c r="A455">
        <f>+Pedido!A458</f>
        <v>0</v>
      </c>
      <c r="C455">
        <v>1</v>
      </c>
      <c r="D455" t="s">
        <v>776</v>
      </c>
      <c r="E455">
        <f>+Pedido!B458</f>
        <v>0</v>
      </c>
    </row>
    <row r="456" spans="1:5" x14ac:dyDescent="0.25">
      <c r="A456">
        <f>+Pedido!A459</f>
        <v>0</v>
      </c>
      <c r="C456">
        <v>1</v>
      </c>
      <c r="D456" t="s">
        <v>776</v>
      </c>
      <c r="E456">
        <f>+Pedido!B459</f>
        <v>0</v>
      </c>
    </row>
    <row r="457" spans="1:5" x14ac:dyDescent="0.25">
      <c r="A457">
        <f>+Pedido!A460</f>
        <v>0</v>
      </c>
      <c r="C457">
        <v>1</v>
      </c>
      <c r="D457" t="s">
        <v>776</v>
      </c>
      <c r="E457">
        <f>+Pedido!B460</f>
        <v>0</v>
      </c>
    </row>
    <row r="458" spans="1:5" x14ac:dyDescent="0.25">
      <c r="A458">
        <f>+Pedido!A461</f>
        <v>0</v>
      </c>
      <c r="C458">
        <v>1</v>
      </c>
      <c r="D458" t="s">
        <v>776</v>
      </c>
      <c r="E458">
        <f>+Pedido!B461</f>
        <v>0</v>
      </c>
    </row>
    <row r="459" spans="1:5" x14ac:dyDescent="0.25">
      <c r="A459">
        <f>+Pedido!A462</f>
        <v>0</v>
      </c>
      <c r="C459">
        <v>1</v>
      </c>
      <c r="D459" t="s">
        <v>776</v>
      </c>
      <c r="E459">
        <f>+Pedido!B462</f>
        <v>0</v>
      </c>
    </row>
    <row r="460" spans="1:5" x14ac:dyDescent="0.25">
      <c r="A460">
        <f>+Pedido!A463</f>
        <v>0</v>
      </c>
      <c r="C460">
        <v>1</v>
      </c>
      <c r="D460" t="s">
        <v>776</v>
      </c>
      <c r="E460">
        <f>+Pedido!B463</f>
        <v>0</v>
      </c>
    </row>
    <row r="461" spans="1:5" x14ac:dyDescent="0.25">
      <c r="A461">
        <f>+Pedido!A464</f>
        <v>0</v>
      </c>
      <c r="C461">
        <v>1</v>
      </c>
      <c r="D461" t="s">
        <v>776</v>
      </c>
      <c r="E461">
        <f>+Pedido!B464</f>
        <v>0</v>
      </c>
    </row>
    <row r="462" spans="1:5" x14ac:dyDescent="0.25">
      <c r="A462">
        <f>+Pedido!A465</f>
        <v>0</v>
      </c>
      <c r="C462">
        <v>1</v>
      </c>
      <c r="D462" t="s">
        <v>776</v>
      </c>
      <c r="E462">
        <f>+Pedido!B465</f>
        <v>0</v>
      </c>
    </row>
    <row r="463" spans="1:5" x14ac:dyDescent="0.25">
      <c r="A463">
        <f>+Pedido!A466</f>
        <v>0</v>
      </c>
      <c r="C463">
        <v>1</v>
      </c>
      <c r="D463" t="s">
        <v>776</v>
      </c>
      <c r="E463">
        <f>+Pedido!B466</f>
        <v>0</v>
      </c>
    </row>
    <row r="464" spans="1:5" x14ac:dyDescent="0.25">
      <c r="A464">
        <f>+Pedido!A467</f>
        <v>0</v>
      </c>
      <c r="C464">
        <v>1</v>
      </c>
      <c r="D464" t="s">
        <v>776</v>
      </c>
      <c r="E464">
        <f>+Pedido!B467</f>
        <v>0</v>
      </c>
    </row>
    <row r="465" spans="1:5" x14ac:dyDescent="0.25">
      <c r="A465">
        <f>+Pedido!A468</f>
        <v>0</v>
      </c>
      <c r="C465">
        <v>1</v>
      </c>
      <c r="D465" t="s">
        <v>776</v>
      </c>
      <c r="E465">
        <f>+Pedido!B468</f>
        <v>0</v>
      </c>
    </row>
    <row r="466" spans="1:5" x14ac:dyDescent="0.25">
      <c r="A466">
        <f>+Pedido!A469</f>
        <v>0</v>
      </c>
      <c r="C466">
        <v>1</v>
      </c>
      <c r="D466" t="s">
        <v>776</v>
      </c>
      <c r="E466">
        <f>+Pedido!B469</f>
        <v>0</v>
      </c>
    </row>
    <row r="467" spans="1:5" x14ac:dyDescent="0.25">
      <c r="A467">
        <f>+Pedido!A470</f>
        <v>0</v>
      </c>
      <c r="C467">
        <v>1</v>
      </c>
      <c r="D467" t="s">
        <v>776</v>
      </c>
      <c r="E467">
        <f>+Pedido!B470</f>
        <v>0</v>
      </c>
    </row>
    <row r="468" spans="1:5" x14ac:dyDescent="0.25">
      <c r="A468">
        <f>+Pedido!A471</f>
        <v>0</v>
      </c>
      <c r="C468">
        <v>1</v>
      </c>
      <c r="D468" t="s">
        <v>776</v>
      </c>
      <c r="E468">
        <f>+Pedido!B471</f>
        <v>0</v>
      </c>
    </row>
    <row r="469" spans="1:5" x14ac:dyDescent="0.25">
      <c r="A469">
        <f>+Pedido!A472</f>
        <v>0</v>
      </c>
      <c r="C469">
        <v>1</v>
      </c>
      <c r="D469" t="s">
        <v>776</v>
      </c>
      <c r="E469">
        <f>+Pedido!B472</f>
        <v>0</v>
      </c>
    </row>
    <row r="470" spans="1:5" x14ac:dyDescent="0.25">
      <c r="A470">
        <f>+Pedido!A473</f>
        <v>0</v>
      </c>
      <c r="C470">
        <v>1</v>
      </c>
      <c r="D470" t="s">
        <v>776</v>
      </c>
      <c r="E470">
        <f>+Pedido!B473</f>
        <v>0</v>
      </c>
    </row>
    <row r="471" spans="1:5" x14ac:dyDescent="0.25">
      <c r="A471">
        <f>+Pedido!A474</f>
        <v>0</v>
      </c>
      <c r="C471">
        <v>1</v>
      </c>
      <c r="D471" t="s">
        <v>776</v>
      </c>
      <c r="E471">
        <f>+Pedido!B474</f>
        <v>0</v>
      </c>
    </row>
    <row r="472" spans="1:5" x14ac:dyDescent="0.25">
      <c r="A472">
        <f>+Pedido!A475</f>
        <v>0</v>
      </c>
      <c r="C472">
        <v>1</v>
      </c>
      <c r="D472" t="s">
        <v>776</v>
      </c>
      <c r="E472">
        <f>+Pedido!B475</f>
        <v>0</v>
      </c>
    </row>
    <row r="473" spans="1:5" x14ac:dyDescent="0.25">
      <c r="A473">
        <f>+Pedido!A476</f>
        <v>0</v>
      </c>
      <c r="C473">
        <v>1</v>
      </c>
      <c r="D473" t="s">
        <v>776</v>
      </c>
      <c r="E473">
        <f>+Pedido!B476</f>
        <v>0</v>
      </c>
    </row>
    <row r="474" spans="1:5" x14ac:dyDescent="0.25">
      <c r="A474">
        <f>+Pedido!A477</f>
        <v>0</v>
      </c>
      <c r="C474">
        <v>1</v>
      </c>
      <c r="D474" t="s">
        <v>776</v>
      </c>
      <c r="E474">
        <f>+Pedido!B477</f>
        <v>0</v>
      </c>
    </row>
    <row r="475" spans="1:5" x14ac:dyDescent="0.25">
      <c r="A475">
        <f>+Pedido!A478</f>
        <v>0</v>
      </c>
      <c r="C475">
        <v>1</v>
      </c>
      <c r="D475" t="s">
        <v>776</v>
      </c>
      <c r="E475">
        <f>+Pedido!B478</f>
        <v>0</v>
      </c>
    </row>
    <row r="476" spans="1:5" x14ac:dyDescent="0.25">
      <c r="A476">
        <f>+Pedido!A479</f>
        <v>0</v>
      </c>
      <c r="C476">
        <v>1</v>
      </c>
      <c r="D476" t="s">
        <v>776</v>
      </c>
      <c r="E476">
        <f>+Pedido!B479</f>
        <v>0</v>
      </c>
    </row>
    <row r="477" spans="1:5" x14ac:dyDescent="0.25">
      <c r="A477">
        <f>+Pedido!A480</f>
        <v>0</v>
      </c>
      <c r="C477">
        <v>1</v>
      </c>
      <c r="D477" t="s">
        <v>776</v>
      </c>
      <c r="E477">
        <f>+Pedido!B480</f>
        <v>0</v>
      </c>
    </row>
    <row r="478" spans="1:5" x14ac:dyDescent="0.25">
      <c r="A478">
        <f>+Pedido!A481</f>
        <v>0</v>
      </c>
      <c r="C478">
        <v>1</v>
      </c>
      <c r="D478" t="s">
        <v>776</v>
      </c>
      <c r="E478">
        <f>+Pedido!B481</f>
        <v>0</v>
      </c>
    </row>
    <row r="479" spans="1:5" x14ac:dyDescent="0.25">
      <c r="A479">
        <f>+Pedido!A482</f>
        <v>0</v>
      </c>
      <c r="C479">
        <v>1</v>
      </c>
      <c r="D479" t="s">
        <v>776</v>
      </c>
      <c r="E479">
        <f>+Pedido!B482</f>
        <v>0</v>
      </c>
    </row>
    <row r="480" spans="1:5" x14ac:dyDescent="0.25">
      <c r="A480">
        <f>+Pedido!A483</f>
        <v>0</v>
      </c>
      <c r="C480">
        <v>1</v>
      </c>
      <c r="D480" t="s">
        <v>776</v>
      </c>
      <c r="E480">
        <f>+Pedido!B483</f>
        <v>0</v>
      </c>
    </row>
    <row r="481" spans="1:5" x14ac:dyDescent="0.25">
      <c r="A481">
        <f>+Pedido!A484</f>
        <v>0</v>
      </c>
      <c r="C481">
        <v>1</v>
      </c>
      <c r="D481" t="s">
        <v>776</v>
      </c>
      <c r="E481">
        <f>+Pedido!B484</f>
        <v>0</v>
      </c>
    </row>
    <row r="482" spans="1:5" x14ac:dyDescent="0.25">
      <c r="A482">
        <f>+Pedido!A485</f>
        <v>0</v>
      </c>
      <c r="C482">
        <v>1</v>
      </c>
      <c r="D482" t="s">
        <v>776</v>
      </c>
      <c r="E482">
        <f>+Pedido!B485</f>
        <v>0</v>
      </c>
    </row>
    <row r="483" spans="1:5" x14ac:dyDescent="0.25">
      <c r="A483">
        <f>+Pedido!A486</f>
        <v>0</v>
      </c>
      <c r="C483">
        <v>1</v>
      </c>
      <c r="D483" t="s">
        <v>776</v>
      </c>
      <c r="E483">
        <f>+Pedido!B486</f>
        <v>0</v>
      </c>
    </row>
    <row r="484" spans="1:5" x14ac:dyDescent="0.25">
      <c r="A484">
        <f>+Pedido!A487</f>
        <v>0</v>
      </c>
      <c r="C484">
        <v>1</v>
      </c>
      <c r="D484" t="s">
        <v>776</v>
      </c>
      <c r="E484">
        <f>+Pedido!B487</f>
        <v>0</v>
      </c>
    </row>
    <row r="485" spans="1:5" x14ac:dyDescent="0.25">
      <c r="A485">
        <f>+Pedido!A488</f>
        <v>0</v>
      </c>
      <c r="C485">
        <v>1</v>
      </c>
      <c r="D485" t="s">
        <v>776</v>
      </c>
      <c r="E485">
        <f>+Pedido!B488</f>
        <v>0</v>
      </c>
    </row>
    <row r="486" spans="1:5" x14ac:dyDescent="0.25">
      <c r="A486">
        <f>+Pedido!A489</f>
        <v>0</v>
      </c>
      <c r="C486">
        <v>1</v>
      </c>
      <c r="D486" t="s">
        <v>776</v>
      </c>
      <c r="E486">
        <f>+Pedido!B489</f>
        <v>0</v>
      </c>
    </row>
    <row r="487" spans="1:5" x14ac:dyDescent="0.25">
      <c r="A487">
        <f>+Pedido!A490</f>
        <v>0</v>
      </c>
      <c r="C487">
        <v>1</v>
      </c>
      <c r="D487" t="s">
        <v>776</v>
      </c>
      <c r="E487">
        <f>+Pedido!B490</f>
        <v>0</v>
      </c>
    </row>
    <row r="488" spans="1:5" x14ac:dyDescent="0.25">
      <c r="A488">
        <f>+Pedido!A491</f>
        <v>0</v>
      </c>
      <c r="C488">
        <v>1</v>
      </c>
      <c r="D488" t="s">
        <v>776</v>
      </c>
      <c r="E488">
        <f>+Pedido!B491</f>
        <v>0</v>
      </c>
    </row>
    <row r="489" spans="1:5" x14ac:dyDescent="0.25">
      <c r="A489">
        <f>+Pedido!A492</f>
        <v>0</v>
      </c>
      <c r="C489">
        <v>1</v>
      </c>
      <c r="D489" t="s">
        <v>776</v>
      </c>
      <c r="E489">
        <f>+Pedido!B492</f>
        <v>0</v>
      </c>
    </row>
    <row r="490" spans="1:5" x14ac:dyDescent="0.25">
      <c r="A490">
        <f>+Pedido!A493</f>
        <v>0</v>
      </c>
      <c r="C490">
        <v>1</v>
      </c>
      <c r="D490" t="s">
        <v>776</v>
      </c>
      <c r="E490">
        <f>+Pedido!B493</f>
        <v>0</v>
      </c>
    </row>
    <row r="491" spans="1:5" x14ac:dyDescent="0.25">
      <c r="A491">
        <f>+Pedido!A494</f>
        <v>0</v>
      </c>
      <c r="C491">
        <v>1</v>
      </c>
      <c r="D491" t="s">
        <v>776</v>
      </c>
      <c r="E491">
        <f>+Pedido!B494</f>
        <v>0</v>
      </c>
    </row>
    <row r="492" spans="1:5" x14ac:dyDescent="0.25">
      <c r="A492">
        <f>+Pedido!A495</f>
        <v>0</v>
      </c>
      <c r="C492">
        <v>1</v>
      </c>
      <c r="D492" t="s">
        <v>776</v>
      </c>
      <c r="E492">
        <f>+Pedido!B495</f>
        <v>0</v>
      </c>
    </row>
    <row r="493" spans="1:5" x14ac:dyDescent="0.25">
      <c r="A493">
        <f>+Pedido!A496</f>
        <v>0</v>
      </c>
      <c r="C493">
        <v>1</v>
      </c>
      <c r="D493" t="s">
        <v>776</v>
      </c>
      <c r="E493">
        <f>+Pedido!B496</f>
        <v>0</v>
      </c>
    </row>
    <row r="494" spans="1:5" x14ac:dyDescent="0.25">
      <c r="A494">
        <f>+Pedido!A497</f>
        <v>0</v>
      </c>
      <c r="C494">
        <v>1</v>
      </c>
      <c r="D494" t="s">
        <v>776</v>
      </c>
      <c r="E494">
        <f>+Pedido!B497</f>
        <v>0</v>
      </c>
    </row>
    <row r="495" spans="1:5" x14ac:dyDescent="0.25">
      <c r="A495">
        <f>+Pedido!A498</f>
        <v>0</v>
      </c>
      <c r="C495">
        <v>1</v>
      </c>
      <c r="D495" t="s">
        <v>776</v>
      </c>
      <c r="E495">
        <f>+Pedido!B498</f>
        <v>0</v>
      </c>
    </row>
    <row r="496" spans="1:5" x14ac:dyDescent="0.25">
      <c r="A496">
        <f>+Pedido!A499</f>
        <v>0</v>
      </c>
      <c r="C496">
        <v>1</v>
      </c>
      <c r="D496" t="s">
        <v>776</v>
      </c>
      <c r="E496">
        <f>+Pedido!B499</f>
        <v>0</v>
      </c>
    </row>
    <row r="497" spans="1:5" x14ac:dyDescent="0.25">
      <c r="A497">
        <f>+Pedido!A500</f>
        <v>0</v>
      </c>
      <c r="C497">
        <v>1</v>
      </c>
      <c r="D497" t="s">
        <v>776</v>
      </c>
      <c r="E497">
        <f>+Pedido!B500</f>
        <v>0</v>
      </c>
    </row>
    <row r="498" spans="1:5" x14ac:dyDescent="0.25">
      <c r="A498">
        <f>+Pedido!A501</f>
        <v>0</v>
      </c>
      <c r="C498">
        <v>1</v>
      </c>
      <c r="D498" t="s">
        <v>776</v>
      </c>
      <c r="E498">
        <f>+Pedido!B501</f>
        <v>0</v>
      </c>
    </row>
    <row r="499" spans="1:5" x14ac:dyDescent="0.25">
      <c r="A499">
        <f>+Pedido!A502</f>
        <v>0</v>
      </c>
      <c r="C499">
        <v>1</v>
      </c>
      <c r="D499" t="s">
        <v>776</v>
      </c>
      <c r="E499">
        <f>+Pedido!B502</f>
        <v>0</v>
      </c>
    </row>
    <row r="500" spans="1:5" x14ac:dyDescent="0.25">
      <c r="A500">
        <f>+Pedido!A503</f>
        <v>0</v>
      </c>
      <c r="C500">
        <v>1</v>
      </c>
      <c r="D500" t="s">
        <v>776</v>
      </c>
      <c r="E500">
        <f>+Pedido!B503</f>
        <v>0</v>
      </c>
    </row>
  </sheetData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frente</vt:lpstr>
      <vt:lpstr>Pedido</vt:lpstr>
      <vt:lpstr>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nota de pedido</dc:title>
  <dc:subject/>
  <dc:creator>Adrián Bertisch</dc:creator>
  <cp:keywords/>
  <dc:description/>
  <cp:lastModifiedBy>martin bertisch</cp:lastModifiedBy>
  <cp:revision/>
  <dcterms:created xsi:type="dcterms:W3CDTF">2005-08-09T21:00:23Z</dcterms:created>
  <dcterms:modified xsi:type="dcterms:W3CDTF">2026-06-12T19:14:33Z</dcterms:modified>
  <cp:category/>
  <cp:contentStatus/>
</cp:coreProperties>
</file>